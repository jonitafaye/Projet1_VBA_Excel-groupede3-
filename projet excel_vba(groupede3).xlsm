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jet1 VBA_excel\projet1_VBA\"/>
    </mc:Choice>
  </mc:AlternateContent>
  <bookViews>
    <workbookView xWindow="0" yWindow="0" windowWidth="20490" windowHeight="7155" firstSheet="6" activeTab="13"/>
  </bookViews>
  <sheets>
    <sheet name="solverA" sheetId="21" r:id="rId1"/>
    <sheet name="A" sheetId="1" r:id="rId2"/>
    <sheet name="solverB" sheetId="22" r:id="rId3"/>
    <sheet name="B" sheetId="2" r:id="rId4"/>
    <sheet name="solverC" sheetId="23" r:id="rId5"/>
    <sheet name="C" sheetId="3" r:id="rId6"/>
    <sheet name="SolverD" sheetId="24" r:id="rId7"/>
    <sheet name="D" sheetId="4" r:id="rId8"/>
    <sheet name="solverE" sheetId="25" r:id="rId9"/>
    <sheet name="E" sheetId="5" r:id="rId10"/>
    <sheet name="heatmap" sheetId="8" r:id="rId11"/>
    <sheet name="NOMBRE" sheetId="9" r:id="rId12"/>
    <sheet name="Diagramme" sheetId="17" r:id="rId13"/>
    <sheet name="défaillants ou incertitudes" sheetId="18" r:id="rId14"/>
  </sheets>
  <functionGroups builtInGroupCount="18"/>
  <definedNames>
    <definedName name="_xlnm._FilterDatabase" localSheetId="0" hidden="1">solverA!$A$1:$M$21</definedName>
    <definedName name="_xlnm._FilterDatabase" localSheetId="2" hidden="1">solverB!$A$1:$M$21</definedName>
    <definedName name="_xlnm._FilterDatabase" localSheetId="4" hidden="1">solverC!$A$1:$M$21</definedName>
    <definedName name="_xlnm._FilterDatabase" localSheetId="6" hidden="1">SolverD!$A$1:$M$21</definedName>
    <definedName name="_xlnm._FilterDatabase" localSheetId="8" hidden="1">solverE!$A$1:$M$21</definedName>
    <definedName name="solver_adj" localSheetId="0" hidden="1">solverA!$H$21:$L$21</definedName>
    <definedName name="solver_adj" localSheetId="2" hidden="1">solverB!$H$21:$L$21</definedName>
    <definedName name="solver_adj" localSheetId="4" hidden="1">solverC!$H$20:$L$20</definedName>
    <definedName name="solver_adj" localSheetId="6" hidden="1">SolverD!$H$21:$L$21</definedName>
    <definedName name="solver_adj" localSheetId="8" hidden="1">solverE!$H$21:$L$21</definedName>
    <definedName name="solver_cvg" localSheetId="10" hidden="1">0.0001</definedName>
    <definedName name="solver_cvg" localSheetId="0" hidden="1">0.0001</definedName>
    <definedName name="solver_cvg" localSheetId="2" hidden="1">0.0001</definedName>
    <definedName name="solver_cvg" localSheetId="4" hidden="1">0.0001</definedName>
    <definedName name="solver_cvg" localSheetId="6" hidden="1">0.0001</definedName>
    <definedName name="solver_cvg" localSheetId="8" hidden="1">0.0001</definedName>
    <definedName name="solver_drv" localSheetId="10" hidden="1">1</definedName>
    <definedName name="solver_drv" localSheetId="0" hidden="1">1</definedName>
    <definedName name="solver_drv" localSheetId="2" hidden="1">1</definedName>
    <definedName name="solver_drv" localSheetId="4" hidden="1">1</definedName>
    <definedName name="solver_drv" localSheetId="6" hidden="1">1</definedName>
    <definedName name="solver_drv" localSheetId="8" hidden="1">1</definedName>
    <definedName name="solver_eng" localSheetId="10" hidden="1">1</definedName>
    <definedName name="solver_eng" localSheetId="0" hidden="1">1</definedName>
    <definedName name="solver_eng" localSheetId="2" hidden="1">1</definedName>
    <definedName name="solver_eng" localSheetId="4" hidden="1">1</definedName>
    <definedName name="solver_eng" localSheetId="6" hidden="1">1</definedName>
    <definedName name="solver_eng" localSheetId="8" hidden="1">1</definedName>
    <definedName name="solver_est" localSheetId="10" hidden="1">1</definedName>
    <definedName name="solver_est" localSheetId="0" hidden="1">1</definedName>
    <definedName name="solver_est" localSheetId="2" hidden="1">1</definedName>
    <definedName name="solver_est" localSheetId="4" hidden="1">1</definedName>
    <definedName name="solver_est" localSheetId="6" hidden="1">1</definedName>
    <definedName name="solver_est" localSheetId="8" hidden="1">1</definedName>
    <definedName name="solver_itr" localSheetId="10" hidden="1">2147483647</definedName>
    <definedName name="solver_itr" localSheetId="0" hidden="1">2147483647</definedName>
    <definedName name="solver_itr" localSheetId="2" hidden="1">2147483647</definedName>
    <definedName name="solver_itr" localSheetId="4" hidden="1">2147483647</definedName>
    <definedName name="solver_itr" localSheetId="6" hidden="1">2147483647</definedName>
    <definedName name="solver_itr" localSheetId="8" hidden="1">2147483647</definedName>
    <definedName name="solver_mip" localSheetId="10" hidden="1">2147483647</definedName>
    <definedName name="solver_mip" localSheetId="0" hidden="1">2147483647</definedName>
    <definedName name="solver_mip" localSheetId="2" hidden="1">2147483647</definedName>
    <definedName name="solver_mip" localSheetId="4" hidden="1">2147483647</definedName>
    <definedName name="solver_mip" localSheetId="6" hidden="1">2147483647</definedName>
    <definedName name="solver_mip" localSheetId="8" hidden="1">2147483647</definedName>
    <definedName name="solver_mni" localSheetId="10" hidden="1">30</definedName>
    <definedName name="solver_mni" localSheetId="0" hidden="1">30</definedName>
    <definedName name="solver_mni" localSheetId="2" hidden="1">30</definedName>
    <definedName name="solver_mni" localSheetId="4" hidden="1">30</definedName>
    <definedName name="solver_mni" localSheetId="6" hidden="1">30</definedName>
    <definedName name="solver_mni" localSheetId="8" hidden="1">30</definedName>
    <definedName name="solver_mrt" localSheetId="10" hidden="1">0.075</definedName>
    <definedName name="solver_mrt" localSheetId="0" hidden="1">0.075</definedName>
    <definedName name="solver_mrt" localSheetId="2" hidden="1">0.075</definedName>
    <definedName name="solver_mrt" localSheetId="4" hidden="1">0.075</definedName>
    <definedName name="solver_mrt" localSheetId="6" hidden="1">0.075</definedName>
    <definedName name="solver_mrt" localSheetId="8" hidden="1">0.075</definedName>
    <definedName name="solver_msl" localSheetId="10" hidden="1">2</definedName>
    <definedName name="solver_msl" localSheetId="0" hidden="1">2</definedName>
    <definedName name="solver_msl" localSheetId="2" hidden="1">2</definedName>
    <definedName name="solver_msl" localSheetId="4" hidden="1">2</definedName>
    <definedName name="solver_msl" localSheetId="6" hidden="1">2</definedName>
    <definedName name="solver_msl" localSheetId="8" hidden="1">2</definedName>
    <definedName name="solver_neg" localSheetId="10" hidden="1">1</definedName>
    <definedName name="solver_neg" localSheetId="0" hidden="1">1</definedName>
    <definedName name="solver_neg" localSheetId="2" hidden="1">1</definedName>
    <definedName name="solver_neg" localSheetId="4" hidden="1">1</definedName>
    <definedName name="solver_neg" localSheetId="6" hidden="1">1</definedName>
    <definedName name="solver_neg" localSheetId="8" hidden="1">1</definedName>
    <definedName name="solver_nod" localSheetId="10" hidden="1">2147483647</definedName>
    <definedName name="solver_nod" localSheetId="0" hidden="1">2147483647</definedName>
    <definedName name="solver_nod" localSheetId="2" hidden="1">2147483647</definedName>
    <definedName name="solver_nod" localSheetId="4" hidden="1">2147483647</definedName>
    <definedName name="solver_nod" localSheetId="6" hidden="1">2147483647</definedName>
    <definedName name="solver_nod" localSheetId="8" hidden="1">2147483647</definedName>
    <definedName name="solver_num" localSheetId="10" hidden="1">0</definedName>
    <definedName name="solver_num" localSheetId="0" hidden="1">0</definedName>
    <definedName name="solver_num" localSheetId="2" hidden="1">0</definedName>
    <definedName name="solver_num" localSheetId="4" hidden="1">0</definedName>
    <definedName name="solver_num" localSheetId="6" hidden="1">0</definedName>
    <definedName name="solver_num" localSheetId="8" hidden="1">0</definedName>
    <definedName name="solver_nwt" localSheetId="10" hidden="1">1</definedName>
    <definedName name="solver_nwt" localSheetId="0" hidden="1">1</definedName>
    <definedName name="solver_nwt" localSheetId="2" hidden="1">1</definedName>
    <definedName name="solver_nwt" localSheetId="4" hidden="1">1</definedName>
    <definedName name="solver_nwt" localSheetId="6" hidden="1">1</definedName>
    <definedName name="solver_nwt" localSheetId="8" hidden="1">1</definedName>
    <definedName name="solver_opt" localSheetId="10" hidden="1">heatmap!$F$2</definedName>
    <definedName name="solver_opt" localSheetId="0" hidden="1">solverA!$M$21</definedName>
    <definedName name="solver_opt" localSheetId="2" hidden="1">solverB!$M$21</definedName>
    <definedName name="solver_opt" localSheetId="4" hidden="1">solverC!$M$20</definedName>
    <definedName name="solver_opt" localSheetId="6" hidden="1">SolverD!$M$21</definedName>
    <definedName name="solver_opt" localSheetId="8" hidden="1">solverE!$M$21</definedName>
    <definedName name="solver_pre" localSheetId="10" hidden="1">0.000001</definedName>
    <definedName name="solver_pre" localSheetId="0" hidden="1">0.000001</definedName>
    <definedName name="solver_pre" localSheetId="2" hidden="1">0.000001</definedName>
    <definedName name="solver_pre" localSheetId="4" hidden="1">0.000001</definedName>
    <definedName name="solver_pre" localSheetId="6" hidden="1">0.000001</definedName>
    <definedName name="solver_pre" localSheetId="8" hidden="1">0.000001</definedName>
    <definedName name="solver_rbv" localSheetId="10" hidden="1">1</definedName>
    <definedName name="solver_rbv" localSheetId="0" hidden="1">1</definedName>
    <definedName name="solver_rbv" localSheetId="2" hidden="1">1</definedName>
    <definedName name="solver_rbv" localSheetId="4" hidden="1">1</definedName>
    <definedName name="solver_rbv" localSheetId="6" hidden="1">1</definedName>
    <definedName name="solver_rbv" localSheetId="8" hidden="1">1</definedName>
    <definedName name="solver_rlx" localSheetId="10" hidden="1">2</definedName>
    <definedName name="solver_rlx" localSheetId="0" hidden="1">2</definedName>
    <definedName name="solver_rlx" localSheetId="2" hidden="1">2</definedName>
    <definedName name="solver_rlx" localSheetId="4" hidden="1">2</definedName>
    <definedName name="solver_rlx" localSheetId="6" hidden="1">2</definedName>
    <definedName name="solver_rlx" localSheetId="8" hidden="1">2</definedName>
    <definedName name="solver_rsd" localSheetId="10" hidden="1">0</definedName>
    <definedName name="solver_rsd" localSheetId="0" hidden="1">0</definedName>
    <definedName name="solver_rsd" localSheetId="2" hidden="1">0</definedName>
    <definedName name="solver_rsd" localSheetId="4" hidden="1">0</definedName>
    <definedName name="solver_rsd" localSheetId="6" hidden="1">0</definedName>
    <definedName name="solver_rsd" localSheetId="8" hidden="1">0</definedName>
    <definedName name="solver_scl" localSheetId="10" hidden="1">1</definedName>
    <definedName name="solver_scl" localSheetId="0" hidden="1">1</definedName>
    <definedName name="solver_scl" localSheetId="2" hidden="1">1</definedName>
    <definedName name="solver_scl" localSheetId="4" hidden="1">1</definedName>
    <definedName name="solver_scl" localSheetId="6" hidden="1">1</definedName>
    <definedName name="solver_scl" localSheetId="8" hidden="1">1</definedName>
    <definedName name="solver_sho" localSheetId="10" hidden="1">2</definedName>
    <definedName name="solver_sho" localSheetId="0" hidden="1">2</definedName>
    <definedName name="solver_sho" localSheetId="2" hidden="1">2</definedName>
    <definedName name="solver_sho" localSheetId="4" hidden="1">2</definedName>
    <definedName name="solver_sho" localSheetId="6" hidden="1">2</definedName>
    <definedName name="solver_sho" localSheetId="8" hidden="1">2</definedName>
    <definedName name="solver_ssz" localSheetId="10" hidden="1">100</definedName>
    <definedName name="solver_ssz" localSheetId="0" hidden="1">100</definedName>
    <definedName name="solver_ssz" localSheetId="2" hidden="1">100</definedName>
    <definedName name="solver_ssz" localSheetId="4" hidden="1">100</definedName>
    <definedName name="solver_ssz" localSheetId="6" hidden="1">100</definedName>
    <definedName name="solver_ssz" localSheetId="8" hidden="1">100</definedName>
    <definedName name="solver_tim" localSheetId="10" hidden="1">2147483647</definedName>
    <definedName name="solver_tim" localSheetId="0" hidden="1">2147483647</definedName>
    <definedName name="solver_tim" localSheetId="2" hidden="1">2147483647</definedName>
    <definedName name="solver_tim" localSheetId="4" hidden="1">2147483647</definedName>
    <definedName name="solver_tim" localSheetId="6" hidden="1">2147483647</definedName>
    <definedName name="solver_tim" localSheetId="8" hidden="1">2147483647</definedName>
    <definedName name="solver_tol" localSheetId="10" hidden="1">0.01</definedName>
    <definedName name="solver_tol" localSheetId="0" hidden="1">0.01</definedName>
    <definedName name="solver_tol" localSheetId="2" hidden="1">0.01</definedName>
    <definedName name="solver_tol" localSheetId="4" hidden="1">0.01</definedName>
    <definedName name="solver_tol" localSheetId="6" hidden="1">0.01</definedName>
    <definedName name="solver_tol" localSheetId="8" hidden="1">0.01</definedName>
    <definedName name="solver_typ" localSheetId="10" hidden="1">3</definedName>
    <definedName name="solver_typ" localSheetId="0" hidden="1">3</definedName>
    <definedName name="solver_typ" localSheetId="2" hidden="1">3</definedName>
    <definedName name="solver_typ" localSheetId="4" hidden="1">3</definedName>
    <definedName name="solver_typ" localSheetId="6" hidden="1">3</definedName>
    <definedName name="solver_typ" localSheetId="8" hidden="1">3</definedName>
    <definedName name="solver_val" localSheetId="10" hidden="1">2.99</definedName>
    <definedName name="solver_val" localSheetId="0" hidden="1">2.99</definedName>
    <definedName name="solver_val" localSheetId="2" hidden="1">2.99</definedName>
    <definedName name="solver_val" localSheetId="4" hidden="1">2.99</definedName>
    <definedName name="solver_val" localSheetId="6" hidden="1">2.99</definedName>
    <definedName name="solver_val" localSheetId="8" hidden="1">2.99</definedName>
    <definedName name="solver_ver" localSheetId="10" hidden="1">3</definedName>
    <definedName name="solver_ver" localSheetId="0" hidden="1">3</definedName>
    <definedName name="solver_ver" localSheetId="2" hidden="1">3</definedName>
    <definedName name="solver_ver" localSheetId="4" hidden="1">3</definedName>
    <definedName name="solver_ver" localSheetId="6" hidden="1">3</definedName>
    <definedName name="solver_ver" localSheetId="8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9" l="1"/>
  <c r="F16" i="18" l="1"/>
  <c r="E16" i="18"/>
  <c r="A16" i="18"/>
  <c r="B16" i="18"/>
  <c r="C16" i="18"/>
  <c r="D16" i="18"/>
  <c r="J4" i="9"/>
  <c r="I4" i="9"/>
  <c r="K17" i="25"/>
  <c r="I17" i="25"/>
  <c r="K15" i="25"/>
  <c r="I15" i="25"/>
  <c r="K12" i="25"/>
  <c r="I12" i="25"/>
  <c r="K10" i="25"/>
  <c r="I10" i="25"/>
  <c r="K7" i="25"/>
  <c r="I7" i="25"/>
  <c r="K6" i="25"/>
  <c r="I6" i="25"/>
  <c r="M2" i="25"/>
  <c r="M21" i="25"/>
  <c r="M20" i="25"/>
  <c r="M19" i="25"/>
  <c r="M18" i="25"/>
  <c r="L17" i="25"/>
  <c r="J17" i="25"/>
  <c r="H17" i="25"/>
  <c r="M17" i="25" s="1"/>
  <c r="M16" i="25"/>
  <c r="L15" i="25"/>
  <c r="J15" i="25"/>
  <c r="H15" i="25"/>
  <c r="M15" i="25" s="1"/>
  <c r="M14" i="25"/>
  <c r="M13" i="25"/>
  <c r="L12" i="25"/>
  <c r="J12" i="25"/>
  <c r="H12" i="25"/>
  <c r="M12" i="25" s="1"/>
  <c r="M11" i="25"/>
  <c r="L10" i="25"/>
  <c r="J10" i="25"/>
  <c r="H10" i="25"/>
  <c r="M10" i="25" s="1"/>
  <c r="M9" i="25"/>
  <c r="M8" i="25"/>
  <c r="L7" i="25"/>
  <c r="J7" i="25"/>
  <c r="H7" i="25"/>
  <c r="M7" i="25" s="1"/>
  <c r="L6" i="25"/>
  <c r="J6" i="25"/>
  <c r="H6" i="25"/>
  <c r="M6" i="25" s="1"/>
  <c r="M5" i="25"/>
  <c r="M4" i="25"/>
  <c r="M3" i="25"/>
  <c r="K20" i="24"/>
  <c r="I20" i="24"/>
  <c r="K18" i="24"/>
  <c r="I18" i="24"/>
  <c r="K17" i="24"/>
  <c r="I17" i="24"/>
  <c r="K16" i="24"/>
  <c r="I16" i="24"/>
  <c r="K12" i="24"/>
  <c r="I12" i="24"/>
  <c r="K10" i="24"/>
  <c r="I10" i="24"/>
  <c r="K8" i="24"/>
  <c r="I8" i="24"/>
  <c r="K2" i="24"/>
  <c r="I2" i="24"/>
  <c r="J2" i="24"/>
  <c r="H2" i="24"/>
  <c r="M21" i="24"/>
  <c r="L20" i="24"/>
  <c r="J20" i="24"/>
  <c r="H20" i="24"/>
  <c r="M20" i="24" s="1"/>
  <c r="M19" i="24"/>
  <c r="L18" i="24"/>
  <c r="J18" i="24"/>
  <c r="H18" i="24"/>
  <c r="M18" i="24" s="1"/>
  <c r="L17" i="24"/>
  <c r="J17" i="24"/>
  <c r="H17" i="24"/>
  <c r="M17" i="24" s="1"/>
  <c r="L16" i="24"/>
  <c r="J16" i="24"/>
  <c r="H16" i="24"/>
  <c r="M16" i="24" s="1"/>
  <c r="M15" i="24"/>
  <c r="M14" i="24"/>
  <c r="M13" i="24"/>
  <c r="L12" i="24"/>
  <c r="J12" i="24"/>
  <c r="H12" i="24"/>
  <c r="M12" i="24" s="1"/>
  <c r="M11" i="24"/>
  <c r="L10" i="24"/>
  <c r="J10" i="24"/>
  <c r="H10" i="24"/>
  <c r="M10" i="24" s="1"/>
  <c r="M9" i="24"/>
  <c r="L8" i="24"/>
  <c r="J8" i="24"/>
  <c r="H8" i="24"/>
  <c r="M8" i="24" s="1"/>
  <c r="M7" i="24"/>
  <c r="M6" i="24"/>
  <c r="M5" i="24"/>
  <c r="M4" i="24"/>
  <c r="M3" i="24"/>
  <c r="L2" i="24"/>
  <c r="M2" i="24" s="1"/>
  <c r="K21" i="23"/>
  <c r="I21" i="23"/>
  <c r="K19" i="23"/>
  <c r="I19" i="23"/>
  <c r="K18" i="23"/>
  <c r="I18" i="23"/>
  <c r="K16" i="23"/>
  <c r="I16" i="23"/>
  <c r="K14" i="23"/>
  <c r="I14" i="23"/>
  <c r="K9" i="23"/>
  <c r="I9" i="23"/>
  <c r="K7" i="23"/>
  <c r="I7" i="23"/>
  <c r="K6" i="23"/>
  <c r="I6" i="23"/>
  <c r="L21" i="23"/>
  <c r="J21" i="23"/>
  <c r="H21" i="23"/>
  <c r="M21" i="23" s="1"/>
  <c r="M20" i="23"/>
  <c r="L19" i="23"/>
  <c r="J19" i="23"/>
  <c r="H19" i="23"/>
  <c r="M19" i="23" s="1"/>
  <c r="L18" i="23"/>
  <c r="J18" i="23"/>
  <c r="H18" i="23"/>
  <c r="M18" i="23" s="1"/>
  <c r="M17" i="23"/>
  <c r="L16" i="23"/>
  <c r="J16" i="23"/>
  <c r="H16" i="23"/>
  <c r="M16" i="23" s="1"/>
  <c r="M15" i="23"/>
  <c r="L14" i="23"/>
  <c r="J14" i="23"/>
  <c r="H14" i="23"/>
  <c r="M14" i="23" s="1"/>
  <c r="M13" i="23"/>
  <c r="M12" i="23"/>
  <c r="M11" i="23"/>
  <c r="M10" i="23"/>
  <c r="L9" i="23"/>
  <c r="J9" i="23"/>
  <c r="H9" i="23"/>
  <c r="M9" i="23" s="1"/>
  <c r="M8" i="23"/>
  <c r="L7" i="23"/>
  <c r="J7" i="23"/>
  <c r="H7" i="23"/>
  <c r="M7" i="23" s="1"/>
  <c r="L6" i="23"/>
  <c r="J6" i="23"/>
  <c r="H6" i="23"/>
  <c r="M6" i="23" s="1"/>
  <c r="M5" i="23"/>
  <c r="M4" i="23"/>
  <c r="M3" i="23"/>
  <c r="M2" i="23"/>
  <c r="H3" i="2"/>
  <c r="H5" i="2"/>
  <c r="H7" i="2"/>
  <c r="H9" i="2"/>
  <c r="H11" i="2"/>
  <c r="H13" i="2"/>
  <c r="H15" i="2"/>
  <c r="H17" i="2"/>
  <c r="H19" i="2"/>
  <c r="H21" i="2"/>
  <c r="H6" i="2"/>
  <c r="H8" i="2"/>
  <c r="H10" i="2"/>
  <c r="H12" i="2"/>
  <c r="H14" i="2"/>
  <c r="H16" i="2"/>
  <c r="H18" i="2"/>
  <c r="H20" i="2"/>
  <c r="H4" i="2"/>
  <c r="H2" i="2"/>
  <c r="H9" i="22"/>
  <c r="H13" i="22"/>
  <c r="H10" i="22"/>
  <c r="H4" i="22"/>
  <c r="H8" i="22"/>
  <c r="H12" i="22"/>
  <c r="H16" i="22"/>
  <c r="H20" i="22"/>
  <c r="K20" i="22"/>
  <c r="I20" i="22"/>
  <c r="K16" i="22"/>
  <c r="I16" i="22"/>
  <c r="K13" i="22"/>
  <c r="I13" i="22"/>
  <c r="K12" i="22"/>
  <c r="I12" i="22"/>
  <c r="K10" i="22"/>
  <c r="I10" i="22"/>
  <c r="K9" i="22"/>
  <c r="I9" i="22"/>
  <c r="K8" i="22"/>
  <c r="I8" i="22"/>
  <c r="K4" i="22"/>
  <c r="I4" i="22"/>
  <c r="M21" i="22"/>
  <c r="L20" i="22"/>
  <c r="J20" i="22"/>
  <c r="M20" i="22"/>
  <c r="M19" i="22"/>
  <c r="M18" i="22"/>
  <c r="M17" i="22"/>
  <c r="L16" i="22"/>
  <c r="J16" i="22"/>
  <c r="M16" i="22"/>
  <c r="M15" i="22"/>
  <c r="M14" i="22"/>
  <c r="L13" i="22"/>
  <c r="J13" i="22"/>
  <c r="M13" i="22"/>
  <c r="L12" i="22"/>
  <c r="J12" i="22"/>
  <c r="M12" i="22"/>
  <c r="M11" i="22"/>
  <c r="L10" i="22"/>
  <c r="J10" i="22"/>
  <c r="M10" i="22"/>
  <c r="L9" i="22"/>
  <c r="J9" i="22"/>
  <c r="M9" i="22"/>
  <c r="L8" i="22"/>
  <c r="J8" i="22"/>
  <c r="M8" i="22"/>
  <c r="M7" i="22"/>
  <c r="M6" i="22"/>
  <c r="M5" i="22"/>
  <c r="L4" i="22"/>
  <c r="J4" i="22"/>
  <c r="M4" i="22"/>
  <c r="M3" i="22"/>
  <c r="M2" i="22"/>
  <c r="K20" i="21"/>
  <c r="I20" i="21"/>
  <c r="K18" i="21"/>
  <c r="I18" i="21"/>
  <c r="K11" i="21"/>
  <c r="I11" i="21"/>
  <c r="K6" i="21"/>
  <c r="I6" i="21"/>
  <c r="K5" i="21"/>
  <c r="I5" i="21"/>
  <c r="K2" i="21"/>
  <c r="I2" i="21"/>
  <c r="M21" i="21"/>
  <c r="L20" i="21"/>
  <c r="J20" i="21"/>
  <c r="H20" i="21"/>
  <c r="M20" i="21" s="1"/>
  <c r="M19" i="21"/>
  <c r="L18" i="21"/>
  <c r="J18" i="21"/>
  <c r="H18" i="21"/>
  <c r="M18" i="21" s="1"/>
  <c r="M17" i="21"/>
  <c r="M16" i="21"/>
  <c r="M15" i="21"/>
  <c r="M14" i="21"/>
  <c r="M13" i="21"/>
  <c r="M12" i="21"/>
  <c r="L11" i="21"/>
  <c r="J11" i="21"/>
  <c r="H11" i="21"/>
  <c r="M11" i="21" s="1"/>
  <c r="M10" i="21"/>
  <c r="M9" i="21"/>
  <c r="M8" i="21"/>
  <c r="M7" i="21"/>
  <c r="L6" i="21"/>
  <c r="J6" i="21"/>
  <c r="H6" i="21"/>
  <c r="M6" i="21" s="1"/>
  <c r="L5" i="21"/>
  <c r="J5" i="21"/>
  <c r="H5" i="21"/>
  <c r="M5" i="21" s="1"/>
  <c r="M4" i="21"/>
  <c r="M3" i="21"/>
  <c r="L2" i="21"/>
  <c r="J2" i="21"/>
  <c r="H2" i="21"/>
  <c r="M2" i="21" s="1"/>
  <c r="L3" i="5"/>
  <c r="L5" i="5"/>
  <c r="L7" i="5"/>
  <c r="L9" i="5"/>
  <c r="L11" i="5"/>
  <c r="L13" i="5"/>
  <c r="L15" i="5"/>
  <c r="L17" i="5"/>
  <c r="L19" i="5"/>
  <c r="L21" i="5"/>
  <c r="L6" i="5"/>
  <c r="L8" i="5"/>
  <c r="L12" i="5"/>
  <c r="L14" i="5"/>
  <c r="L18" i="5"/>
  <c r="L4" i="5"/>
  <c r="L10" i="5"/>
  <c r="L16" i="5"/>
  <c r="L20" i="5"/>
  <c r="L2" i="5"/>
  <c r="K3" i="5"/>
  <c r="K5" i="5"/>
  <c r="K7" i="5"/>
  <c r="K9" i="5"/>
  <c r="K11" i="5"/>
  <c r="K13" i="5"/>
  <c r="K15" i="5"/>
  <c r="K17" i="5"/>
  <c r="K19" i="5"/>
  <c r="K21" i="5"/>
  <c r="K6" i="5"/>
  <c r="K8" i="5"/>
  <c r="K12" i="5"/>
  <c r="K16" i="5"/>
  <c r="K4" i="5"/>
  <c r="K10" i="5"/>
  <c r="K14" i="5"/>
  <c r="K18" i="5"/>
  <c r="K20" i="5"/>
  <c r="K2" i="5"/>
  <c r="J3" i="5"/>
  <c r="J5" i="5"/>
  <c r="J7" i="5"/>
  <c r="J9" i="5"/>
  <c r="J11" i="5"/>
  <c r="J13" i="5"/>
  <c r="J15" i="5"/>
  <c r="J17" i="5"/>
  <c r="J19" i="5"/>
  <c r="J21" i="5"/>
  <c r="J6" i="5"/>
  <c r="J8" i="5"/>
  <c r="J10" i="5"/>
  <c r="J14" i="5"/>
  <c r="J16" i="5"/>
  <c r="J20" i="5"/>
  <c r="J4" i="5"/>
  <c r="J12" i="5"/>
  <c r="J18" i="5"/>
  <c r="J2" i="5"/>
  <c r="I3" i="5"/>
  <c r="I5" i="5"/>
  <c r="I7" i="5"/>
  <c r="I9" i="5"/>
  <c r="I11" i="5"/>
  <c r="I13" i="5"/>
  <c r="I15" i="5"/>
  <c r="I17" i="5"/>
  <c r="I19" i="5"/>
  <c r="I21" i="5"/>
  <c r="I6" i="5"/>
  <c r="I10" i="5"/>
  <c r="I12" i="5"/>
  <c r="I16" i="5"/>
  <c r="I18" i="5"/>
  <c r="I4" i="5"/>
  <c r="I8" i="5"/>
  <c r="I14" i="5"/>
  <c r="I20" i="5"/>
  <c r="I2" i="5"/>
  <c r="H3" i="5"/>
  <c r="M3" i="5" s="1"/>
  <c r="H5" i="5"/>
  <c r="M5" i="5" s="1"/>
  <c r="H7" i="5"/>
  <c r="M7" i="5" s="1"/>
  <c r="H9" i="5"/>
  <c r="M9" i="5" s="1"/>
  <c r="H11" i="5"/>
  <c r="M11" i="5" s="1"/>
  <c r="H13" i="5"/>
  <c r="M13" i="5" s="1"/>
  <c r="H15" i="5"/>
  <c r="M15" i="5" s="1"/>
  <c r="H17" i="5"/>
  <c r="M17" i="5" s="1"/>
  <c r="H19" i="5"/>
  <c r="M19" i="5" s="1"/>
  <c r="H21" i="5"/>
  <c r="M21" i="5" s="1"/>
  <c r="H4" i="5"/>
  <c r="M4" i="5" s="1"/>
  <c r="H6" i="5"/>
  <c r="M6" i="5" s="1"/>
  <c r="H8" i="5"/>
  <c r="M8" i="5" s="1"/>
  <c r="H10" i="5"/>
  <c r="M10" i="5" s="1"/>
  <c r="H12" i="5"/>
  <c r="M12" i="5" s="1"/>
  <c r="H14" i="5"/>
  <c r="M14" i="5" s="1"/>
  <c r="H16" i="5"/>
  <c r="M16" i="5" s="1"/>
  <c r="H18" i="5"/>
  <c r="M18" i="5" s="1"/>
  <c r="H20" i="5"/>
  <c r="M20" i="5" s="1"/>
  <c r="H2" i="5"/>
  <c r="M2" i="5" s="1"/>
  <c r="L3" i="4"/>
  <c r="L5" i="4"/>
  <c r="L7" i="4"/>
  <c r="L9" i="4"/>
  <c r="L11" i="4"/>
  <c r="L13" i="4"/>
  <c r="L15" i="4"/>
  <c r="L17" i="4"/>
  <c r="L19" i="4"/>
  <c r="L21" i="4"/>
  <c r="L6" i="4"/>
  <c r="L10" i="4"/>
  <c r="L12" i="4"/>
  <c r="L16" i="4"/>
  <c r="L20" i="4"/>
  <c r="L4" i="4"/>
  <c r="L8" i="4"/>
  <c r="L14" i="4"/>
  <c r="L18" i="4"/>
  <c r="L2" i="4"/>
  <c r="K3" i="4"/>
  <c r="K5" i="4"/>
  <c r="K7" i="4"/>
  <c r="K9" i="4"/>
  <c r="K11" i="4"/>
  <c r="K13" i="4"/>
  <c r="K15" i="4"/>
  <c r="K17" i="4"/>
  <c r="K19" i="4"/>
  <c r="K21" i="4"/>
  <c r="K4" i="4"/>
  <c r="K6" i="4"/>
  <c r="K8" i="4"/>
  <c r="K10" i="4"/>
  <c r="K12" i="4"/>
  <c r="K14" i="4"/>
  <c r="K16" i="4"/>
  <c r="K18" i="4"/>
  <c r="K20" i="4"/>
  <c r="K2" i="4"/>
  <c r="J3" i="4"/>
  <c r="J5" i="4"/>
  <c r="J7" i="4"/>
  <c r="J9" i="4"/>
  <c r="J11" i="4"/>
  <c r="J13" i="4"/>
  <c r="J15" i="4"/>
  <c r="J17" i="4"/>
  <c r="J19" i="4"/>
  <c r="J21" i="4"/>
  <c r="J18" i="4"/>
  <c r="J4" i="4"/>
  <c r="J6" i="4"/>
  <c r="J8" i="4"/>
  <c r="J10" i="4"/>
  <c r="J12" i="4"/>
  <c r="J14" i="4"/>
  <c r="J16" i="4"/>
  <c r="J20" i="4"/>
  <c r="J2" i="4"/>
  <c r="I3" i="4"/>
  <c r="I5" i="4"/>
  <c r="I7" i="4"/>
  <c r="I9" i="4"/>
  <c r="I11" i="4"/>
  <c r="I13" i="4"/>
  <c r="I15" i="4"/>
  <c r="I17" i="4"/>
  <c r="I19" i="4"/>
  <c r="I21" i="4"/>
  <c r="I8" i="4"/>
  <c r="I10" i="4"/>
  <c r="I14" i="4"/>
  <c r="I16" i="4"/>
  <c r="I20" i="4"/>
  <c r="I4" i="4"/>
  <c r="I6" i="4"/>
  <c r="I12" i="4"/>
  <c r="I18" i="4"/>
  <c r="I2" i="4"/>
  <c r="H3" i="4"/>
  <c r="M3" i="4" s="1"/>
  <c r="H5" i="4"/>
  <c r="M5" i="4" s="1"/>
  <c r="H7" i="4"/>
  <c r="M7" i="4" s="1"/>
  <c r="H9" i="4"/>
  <c r="M9" i="4" s="1"/>
  <c r="H11" i="4"/>
  <c r="M11" i="4" s="1"/>
  <c r="H13" i="4"/>
  <c r="M13" i="4" s="1"/>
  <c r="H15" i="4"/>
  <c r="M15" i="4" s="1"/>
  <c r="H17" i="4"/>
  <c r="M17" i="4" s="1"/>
  <c r="H19" i="4"/>
  <c r="M19" i="4" s="1"/>
  <c r="H21" i="4"/>
  <c r="M21" i="4" s="1"/>
  <c r="H4" i="4"/>
  <c r="M4" i="4" s="1"/>
  <c r="H6" i="4"/>
  <c r="M6" i="4" s="1"/>
  <c r="H8" i="4"/>
  <c r="M8" i="4" s="1"/>
  <c r="H10" i="4"/>
  <c r="M10" i="4" s="1"/>
  <c r="H12" i="4"/>
  <c r="M12" i="4" s="1"/>
  <c r="H14" i="4"/>
  <c r="M14" i="4" s="1"/>
  <c r="H16" i="4"/>
  <c r="M16" i="4" s="1"/>
  <c r="H18" i="4"/>
  <c r="M18" i="4" s="1"/>
  <c r="H20" i="4"/>
  <c r="M20" i="4" s="1"/>
  <c r="H2" i="4"/>
  <c r="M2" i="4" s="1"/>
  <c r="L3" i="3"/>
  <c r="L5" i="3"/>
  <c r="L7" i="3"/>
  <c r="L9" i="3"/>
  <c r="L11" i="3"/>
  <c r="L13" i="3"/>
  <c r="L15" i="3"/>
  <c r="L17" i="3"/>
  <c r="L19" i="3"/>
  <c r="L21" i="3"/>
  <c r="L4" i="3"/>
  <c r="L6" i="3"/>
  <c r="L8" i="3"/>
  <c r="L10" i="3"/>
  <c r="L12" i="3"/>
  <c r="L14" i="3"/>
  <c r="L16" i="3"/>
  <c r="L18" i="3"/>
  <c r="L20" i="3"/>
  <c r="L2" i="3"/>
  <c r="K3" i="3"/>
  <c r="K5" i="3"/>
  <c r="K7" i="3"/>
  <c r="K9" i="3"/>
  <c r="K11" i="3"/>
  <c r="K13" i="3"/>
  <c r="K15" i="3"/>
  <c r="K17" i="3"/>
  <c r="K19" i="3"/>
  <c r="K21" i="3"/>
  <c r="K4" i="3"/>
  <c r="K6" i="3"/>
  <c r="K8" i="3"/>
  <c r="K10" i="3"/>
  <c r="K12" i="3"/>
  <c r="K14" i="3"/>
  <c r="K16" i="3"/>
  <c r="K18" i="3"/>
  <c r="K20" i="3"/>
  <c r="K2" i="3"/>
  <c r="J3" i="3"/>
  <c r="J5" i="3"/>
  <c r="J7" i="3"/>
  <c r="J9" i="3"/>
  <c r="J11" i="3"/>
  <c r="J13" i="3"/>
  <c r="J15" i="3"/>
  <c r="J17" i="3"/>
  <c r="J19" i="3"/>
  <c r="J21" i="3"/>
  <c r="J4" i="3"/>
  <c r="J6" i="3"/>
  <c r="J8" i="3"/>
  <c r="J10" i="3"/>
  <c r="J12" i="3"/>
  <c r="J14" i="3"/>
  <c r="J16" i="3"/>
  <c r="J18" i="3"/>
  <c r="J20" i="3"/>
  <c r="J2" i="3"/>
  <c r="I3" i="3"/>
  <c r="I5" i="3"/>
  <c r="I7" i="3"/>
  <c r="I9" i="3"/>
  <c r="I11" i="3"/>
  <c r="I13" i="3"/>
  <c r="I15" i="3"/>
  <c r="I17" i="3"/>
  <c r="I19" i="3"/>
  <c r="I21" i="3"/>
  <c r="I4" i="3"/>
  <c r="I6" i="3"/>
  <c r="I8" i="3"/>
  <c r="I10" i="3"/>
  <c r="I12" i="3"/>
  <c r="I14" i="3"/>
  <c r="I16" i="3"/>
  <c r="I18" i="3"/>
  <c r="I20" i="3"/>
  <c r="I2" i="3"/>
  <c r="H3" i="3"/>
  <c r="M3" i="3" s="1"/>
  <c r="H5" i="3"/>
  <c r="M5" i="3" s="1"/>
  <c r="H7" i="3"/>
  <c r="M7" i="3" s="1"/>
  <c r="H9" i="3"/>
  <c r="M9" i="3" s="1"/>
  <c r="H11" i="3"/>
  <c r="M11" i="3" s="1"/>
  <c r="H13" i="3"/>
  <c r="M13" i="3" s="1"/>
  <c r="H15" i="3"/>
  <c r="M15" i="3" s="1"/>
  <c r="H17" i="3"/>
  <c r="M17" i="3" s="1"/>
  <c r="H19" i="3"/>
  <c r="M19" i="3" s="1"/>
  <c r="H21" i="3"/>
  <c r="M21" i="3" s="1"/>
  <c r="H8" i="3"/>
  <c r="M8" i="3" s="1"/>
  <c r="H14" i="3"/>
  <c r="M14" i="3" s="1"/>
  <c r="H18" i="3"/>
  <c r="M18" i="3" s="1"/>
  <c r="H4" i="3"/>
  <c r="M4" i="3" s="1"/>
  <c r="H6" i="3"/>
  <c r="M6" i="3" s="1"/>
  <c r="H10" i="3"/>
  <c r="M10" i="3" s="1"/>
  <c r="H12" i="3"/>
  <c r="M12" i="3" s="1"/>
  <c r="H16" i="3"/>
  <c r="M16" i="3" s="1"/>
  <c r="H20" i="3"/>
  <c r="M20" i="3" s="1"/>
  <c r="H2" i="3"/>
  <c r="M2" i="3" s="1"/>
  <c r="L3" i="2"/>
  <c r="L5" i="2"/>
  <c r="L7" i="2"/>
  <c r="L9" i="2"/>
  <c r="L11" i="2"/>
  <c r="L13" i="2"/>
  <c r="L15" i="2"/>
  <c r="L17" i="2"/>
  <c r="L19" i="2"/>
  <c r="L21" i="2"/>
  <c r="L12" i="2"/>
  <c r="L16" i="2"/>
  <c r="L20" i="2"/>
  <c r="L4" i="2"/>
  <c r="L6" i="2"/>
  <c r="L8" i="2"/>
  <c r="L10" i="2"/>
  <c r="L14" i="2"/>
  <c r="L18" i="2"/>
  <c r="L2" i="2"/>
  <c r="K3" i="2"/>
  <c r="K5" i="2"/>
  <c r="K7" i="2"/>
  <c r="K9" i="2"/>
  <c r="K11" i="2"/>
  <c r="K13" i="2"/>
  <c r="K15" i="2"/>
  <c r="K17" i="2"/>
  <c r="K19" i="2"/>
  <c r="K21" i="2"/>
  <c r="K4" i="2"/>
  <c r="K6" i="2"/>
  <c r="K8" i="2"/>
  <c r="K10" i="2"/>
  <c r="K12" i="2"/>
  <c r="K14" i="2"/>
  <c r="K16" i="2"/>
  <c r="K18" i="2"/>
  <c r="K20" i="2"/>
  <c r="K2" i="2"/>
  <c r="J3" i="2"/>
  <c r="J5" i="2"/>
  <c r="J7" i="2"/>
  <c r="J9" i="2"/>
  <c r="J11" i="2"/>
  <c r="J13" i="2"/>
  <c r="J15" i="2"/>
  <c r="J17" i="2"/>
  <c r="J19" i="2"/>
  <c r="J21" i="2"/>
  <c r="J6" i="2"/>
  <c r="J8" i="2"/>
  <c r="J10" i="2"/>
  <c r="J12" i="2"/>
  <c r="J14" i="2"/>
  <c r="J16" i="2"/>
  <c r="J18" i="2"/>
  <c r="J20" i="2"/>
  <c r="J4" i="2"/>
  <c r="J2" i="2"/>
  <c r="I16" i="2"/>
  <c r="M16" i="2" s="1"/>
  <c r="I18" i="2"/>
  <c r="M18" i="2" s="1"/>
  <c r="I20" i="2"/>
  <c r="M20" i="2" s="1"/>
  <c r="I17" i="2"/>
  <c r="M17" i="2" s="1"/>
  <c r="I19" i="2"/>
  <c r="M19" i="2" s="1"/>
  <c r="I21" i="2"/>
  <c r="M21" i="2" s="1"/>
  <c r="I2" i="2"/>
  <c r="M2" i="2" s="1"/>
  <c r="I4" i="2"/>
  <c r="M4" i="2" s="1"/>
  <c r="I6" i="2"/>
  <c r="M6" i="2" s="1"/>
  <c r="I8" i="2"/>
  <c r="M8" i="2" s="1"/>
  <c r="I10" i="2"/>
  <c r="M10" i="2" s="1"/>
  <c r="I12" i="2"/>
  <c r="M12" i="2" s="1"/>
  <c r="I14" i="2"/>
  <c r="M14" i="2" s="1"/>
  <c r="I3" i="2"/>
  <c r="M3" i="2" s="1"/>
  <c r="I5" i="2"/>
  <c r="M5" i="2" s="1"/>
  <c r="I7" i="2"/>
  <c r="M7" i="2" s="1"/>
  <c r="I9" i="2"/>
  <c r="M9" i="2" s="1"/>
  <c r="I11" i="2"/>
  <c r="M11" i="2" s="1"/>
  <c r="I13" i="2"/>
  <c r="M13" i="2" s="1"/>
  <c r="I15" i="2"/>
  <c r="M15" i="2" s="1"/>
  <c r="L3" i="1"/>
  <c r="L5" i="1"/>
  <c r="L7" i="1"/>
  <c r="L9" i="1"/>
  <c r="L11" i="1"/>
  <c r="L13" i="1"/>
  <c r="L15" i="1"/>
  <c r="L17" i="1"/>
  <c r="L19" i="1"/>
  <c r="L21" i="1"/>
  <c r="L14" i="1"/>
  <c r="L18" i="1"/>
  <c r="L4" i="1"/>
  <c r="L6" i="1"/>
  <c r="L8" i="1"/>
  <c r="L10" i="1"/>
  <c r="L12" i="1"/>
  <c r="L16" i="1"/>
  <c r="L20" i="1"/>
  <c r="L2" i="1"/>
  <c r="K3" i="1"/>
  <c r="K5" i="1"/>
  <c r="K7" i="1"/>
  <c r="K9" i="1"/>
  <c r="K11" i="1"/>
  <c r="K13" i="1"/>
  <c r="K15" i="1"/>
  <c r="K17" i="1"/>
  <c r="K19" i="1"/>
  <c r="K21" i="1"/>
  <c r="K4" i="1"/>
  <c r="K6" i="1"/>
  <c r="K8" i="1"/>
  <c r="K10" i="1"/>
  <c r="K12" i="1"/>
  <c r="K14" i="1"/>
  <c r="K16" i="1"/>
  <c r="K18" i="1"/>
  <c r="K20" i="1"/>
  <c r="K2" i="1"/>
  <c r="J3" i="1"/>
  <c r="J5" i="1"/>
  <c r="J7" i="1"/>
  <c r="J9" i="1"/>
  <c r="J11" i="1"/>
  <c r="J13" i="1"/>
  <c r="J15" i="1"/>
  <c r="J17" i="1"/>
  <c r="J19" i="1"/>
  <c r="J21" i="1"/>
  <c r="J18" i="1"/>
  <c r="J4" i="1"/>
  <c r="J6" i="1"/>
  <c r="J8" i="1"/>
  <c r="J10" i="1"/>
  <c r="J12" i="1"/>
  <c r="J14" i="1"/>
  <c r="J16" i="1"/>
  <c r="J20" i="1"/>
  <c r="J2" i="1"/>
  <c r="I3" i="1"/>
  <c r="I5" i="1"/>
  <c r="I7" i="1"/>
  <c r="I9" i="1"/>
  <c r="I11" i="1"/>
  <c r="I13" i="1"/>
  <c r="I15" i="1"/>
  <c r="I17" i="1"/>
  <c r="I19" i="1"/>
  <c r="I21" i="1"/>
  <c r="I4" i="1"/>
  <c r="I6" i="1"/>
  <c r="I8" i="1"/>
  <c r="I10" i="1"/>
  <c r="I12" i="1"/>
  <c r="I14" i="1"/>
  <c r="I16" i="1"/>
  <c r="I18" i="1"/>
  <c r="I20" i="1"/>
  <c r="I2" i="1"/>
  <c r="H3" i="1"/>
  <c r="M3" i="1" s="1"/>
  <c r="H5" i="1"/>
  <c r="M5" i="1" s="1"/>
  <c r="H7" i="1"/>
  <c r="M7" i="1" s="1"/>
  <c r="H9" i="1"/>
  <c r="M9" i="1" s="1"/>
  <c r="H11" i="1"/>
  <c r="M11" i="1" s="1"/>
  <c r="H13" i="1"/>
  <c r="M13" i="1" s="1"/>
  <c r="H15" i="1"/>
  <c r="M15" i="1" s="1"/>
  <c r="H17" i="1"/>
  <c r="M17" i="1" s="1"/>
  <c r="H19" i="1"/>
  <c r="M19" i="1" s="1"/>
  <c r="H21" i="1"/>
  <c r="M21" i="1" s="1"/>
  <c r="H14" i="1"/>
  <c r="M14" i="1" s="1"/>
  <c r="H20" i="1"/>
  <c r="M20" i="1" s="1"/>
  <c r="H4" i="1"/>
  <c r="M4" i="1" s="1"/>
  <c r="H6" i="1"/>
  <c r="M6" i="1" s="1"/>
  <c r="H8" i="1"/>
  <c r="M8" i="1" s="1"/>
  <c r="H10" i="1"/>
  <c r="M10" i="1" s="1"/>
  <c r="H12" i="1"/>
  <c r="M12" i="1" s="1"/>
  <c r="H16" i="1"/>
  <c r="M16" i="1" s="1"/>
  <c r="H18" i="1"/>
  <c r="M18" i="1" s="1"/>
  <c r="H2" i="1"/>
  <c r="M2" i="1" s="1"/>
  <c r="B3" i="8"/>
  <c r="K4" i="9" l="1"/>
  <c r="F22" i="9"/>
  <c r="A22" i="9"/>
  <c r="B22" i="9"/>
  <c r="C22" i="9"/>
  <c r="D22" i="9"/>
  <c r="E22" i="9"/>
  <c r="F37" i="9"/>
  <c r="A37" i="9"/>
  <c r="B37" i="9"/>
  <c r="C37" i="9"/>
  <c r="D37" i="9"/>
  <c r="E37" i="9"/>
  <c r="F10" i="9"/>
  <c r="A10" i="9"/>
  <c r="C10" i="9"/>
  <c r="D10" i="9"/>
  <c r="E10" i="9"/>
  <c r="C19" i="8"/>
  <c r="B6" i="8"/>
  <c r="F17" i="8"/>
  <c r="D3" i="8"/>
  <c r="C21" i="8"/>
  <c r="B20" i="8"/>
  <c r="F18" i="8"/>
  <c r="D13" i="8"/>
  <c r="E2" i="8"/>
  <c r="D2" i="8"/>
  <c r="E5" i="8"/>
  <c r="B15" i="8"/>
  <c r="B7" i="8"/>
  <c r="B12" i="8"/>
  <c r="D8" i="8"/>
  <c r="B5" i="8"/>
  <c r="C4" i="8"/>
  <c r="E19" i="8"/>
  <c r="D18" i="8"/>
  <c r="D15" i="8"/>
  <c r="F9" i="8"/>
  <c r="E8" i="8"/>
  <c r="E7" i="8"/>
  <c r="D9" i="8"/>
  <c r="F4" i="8"/>
  <c r="E21" i="8"/>
  <c r="F15" i="8"/>
  <c r="B8" i="8"/>
  <c r="F11" i="8"/>
  <c r="C3" i="8"/>
  <c r="B18" i="8"/>
  <c r="B16" i="8"/>
  <c r="E10" i="8"/>
  <c r="D12" i="8"/>
  <c r="D5" i="8"/>
  <c r="C6" i="8"/>
  <c r="F19" i="8"/>
  <c r="E9" i="8"/>
  <c r="F12" i="8"/>
  <c r="B14" i="8"/>
  <c r="F7" i="8"/>
  <c r="F3" i="8"/>
  <c r="C13" i="8"/>
  <c r="F6" i="8"/>
  <c r="C5" i="8"/>
  <c r="F13" i="8"/>
  <c r="B4" i="8"/>
  <c r="D6" i="8"/>
  <c r="F16" i="8"/>
  <c r="C10" i="8"/>
  <c r="C7" i="8"/>
  <c r="E3" i="8"/>
  <c r="D21" i="8"/>
  <c r="E20" i="8"/>
  <c r="B17" i="8"/>
  <c r="E13" i="8"/>
  <c r="F14" i="8"/>
  <c r="F8" i="8"/>
  <c r="F2" i="8"/>
  <c r="B9" i="8"/>
  <c r="C9" i="8"/>
  <c r="C12" i="8"/>
  <c r="E4" i="8"/>
  <c r="F21" i="8"/>
  <c r="D4" i="8"/>
  <c r="C16" i="8"/>
  <c r="C11" i="8"/>
  <c r="E15" i="8"/>
  <c r="D19" i="8"/>
  <c r="C18" i="8"/>
  <c r="F5" i="8"/>
  <c r="E11" i="8"/>
  <c r="D10" i="8"/>
  <c r="D14" i="8"/>
  <c r="B2" i="8"/>
  <c r="C2" i="8"/>
  <c r="B11" i="8"/>
  <c r="D17" i="8"/>
  <c r="E12" i="8"/>
  <c r="D20" i="8"/>
  <c r="C20" i="8"/>
  <c r="E14" i="8"/>
  <c r="D16" i="8"/>
  <c r="F10" i="8"/>
  <c r="E18" i="8"/>
  <c r="F20" i="8"/>
  <c r="E16" i="8"/>
  <c r="E17" i="8"/>
  <c r="C8" i="8"/>
  <c r="B19" i="8"/>
  <c r="D7" i="8"/>
  <c r="B21" i="8"/>
  <c r="B13" i="8"/>
  <c r="E6" i="8"/>
  <c r="C14" i="8"/>
  <c r="B10" i="8"/>
  <c r="C17" i="8"/>
  <c r="C15" i="8"/>
  <c r="D11" i="8"/>
</calcChain>
</file>

<file path=xl/sharedStrings.xml><?xml version="1.0" encoding="utf-8"?>
<sst xmlns="http://schemas.openxmlformats.org/spreadsheetml/2006/main" count="162" uniqueCount="30">
  <si>
    <t>CC</t>
  </si>
  <si>
    <t>PR</t>
  </si>
  <si>
    <t>TA</t>
  </si>
  <si>
    <t>PFI</t>
  </si>
  <si>
    <t>CB</t>
  </si>
  <si>
    <t>VCP</t>
  </si>
  <si>
    <t>V</t>
  </si>
  <si>
    <t>X1</t>
  </si>
  <si>
    <t>X2</t>
  </si>
  <si>
    <t>X3</t>
  </si>
  <si>
    <t>X4</t>
  </si>
  <si>
    <t>X5</t>
  </si>
  <si>
    <t>zone A</t>
  </si>
  <si>
    <t>Zone B</t>
  </si>
  <si>
    <t>Zone C</t>
  </si>
  <si>
    <t>Zone D</t>
  </si>
  <si>
    <t>Zone E</t>
  </si>
  <si>
    <t>ZoneB</t>
  </si>
  <si>
    <t>zoneA</t>
  </si>
  <si>
    <t>ZoneC</t>
  </si>
  <si>
    <t>ZoneD</t>
  </si>
  <si>
    <t>ZoneA</t>
  </si>
  <si>
    <t>ZoneA2</t>
  </si>
  <si>
    <t>incertitudes</t>
  </si>
  <si>
    <t>ZoneE</t>
  </si>
  <si>
    <t xml:space="preserve">TABLEAU RECAPULATIF </t>
  </si>
  <si>
    <t>acceptés</t>
  </si>
  <si>
    <t>rejetés</t>
  </si>
  <si>
    <t>Défaillant(rejeté)</t>
  </si>
  <si>
    <t>Saine(acceptés)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</si>
</sst>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i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mediumDashDot">
        <color auto="1"/>
      </left>
      <right/>
      <top style="mediumDashDot">
        <color auto="1"/>
      </top>
      <bottom style="mediumDashDot">
        <color auto="1"/>
      </bottom>
      <diagonal/>
    </border>
    <border>
      <left/>
      <right/>
      <top style="mediumDashDot">
        <color auto="1"/>
      </top>
      <bottom style="mediumDashDot">
        <color auto="1"/>
      </bottom>
      <diagonal/>
    </border>
    <border>
      <left/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0" fillId="2" borderId="1" xfId="0" applyFont="1" applyFill="1" applyBorder="1"/>
    <xf numFmtId="0" fontId="0" fillId="0" borderId="1" xfId="0" applyFont="1" applyBorder="1"/>
    <xf numFmtId="0" fontId="1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/>
    <xf numFmtId="0" fontId="0" fillId="2" borderId="8" xfId="0" applyFont="1" applyFill="1" applyBorder="1"/>
    <xf numFmtId="0" fontId="0" fillId="0" borderId="8" xfId="0" applyFont="1" applyBorder="1"/>
    <xf numFmtId="0" fontId="0" fillId="0" borderId="9" xfId="0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9" xfId="0" applyFill="1" applyBorder="1"/>
    <xf numFmtId="0" fontId="0" fillId="4" borderId="9" xfId="0" applyFill="1" applyBorder="1" applyAlignment="1">
      <alignment horizontal="center" vertical="center"/>
    </xf>
    <xf numFmtId="0" fontId="0" fillId="4" borderId="9" xfId="0" applyFill="1" applyBorder="1"/>
    <xf numFmtId="0" fontId="0" fillId="5" borderId="9" xfId="0" applyFill="1" applyBorder="1" applyAlignment="1">
      <alignment horizontal="center" vertical="center"/>
    </xf>
    <xf numFmtId="0" fontId="0" fillId="5" borderId="9" xfId="0" applyFill="1" applyBorder="1"/>
    <xf numFmtId="0" fontId="5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E9A15"/>
      <color rgb="FFFF3D01"/>
      <color rgb="FFEAFB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3998564927585493E-2"/>
          <c:y val="8.1200212511200451E-2"/>
          <c:w val="0.69596106736657903"/>
          <c:h val="0.81944444444444442"/>
        </c:manualLayout>
      </c:layout>
      <c:pie3DChart>
        <c:varyColors val="1"/>
        <c:ser>
          <c:idx val="0"/>
          <c:order val="0"/>
          <c:explosion val="18"/>
          <c:dPt>
            <c:idx val="0"/>
            <c:bubble3D val="0"/>
            <c:spPr>
              <a:solidFill>
                <a:srgbClr val="0E9A15">
                  <a:alpha val="97000"/>
                </a:srgbClr>
              </a:solidFill>
              <a:ln w="25400">
                <a:noFill/>
              </a:ln>
              <a:effectLst/>
              <a:sp3d/>
            </c:spPr>
          </c:dPt>
          <c:dPt>
            <c:idx val="1"/>
            <c:bubble3D val="0"/>
            <c:explosion val="25"/>
            <c:spPr>
              <a:solidFill>
                <a:srgbClr val="FF0000">
                  <a:alpha val="97000"/>
                </a:srgbClr>
              </a:solidFill>
              <a:ln w="25400">
                <a:noFill/>
              </a:ln>
              <a:effectLst/>
              <a:sp3d/>
            </c:spPr>
          </c:dPt>
          <c:dPt>
            <c:idx val="2"/>
            <c:bubble3D val="0"/>
            <c:spPr>
              <a:solidFill>
                <a:srgbClr val="FFFF00">
                  <a:alpha val="96000"/>
                </a:srgbClr>
              </a:solidFill>
              <a:ln w="25400">
                <a:noFill/>
              </a:ln>
              <a:effectLst/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NOMBRE!$I$3:$K$3</c:f>
              <c:strCache>
                <c:ptCount val="3"/>
                <c:pt idx="0">
                  <c:v>acceptés</c:v>
                </c:pt>
                <c:pt idx="1">
                  <c:v>rejetés</c:v>
                </c:pt>
                <c:pt idx="2">
                  <c:v>incertitudes</c:v>
                </c:pt>
              </c:strCache>
            </c:strRef>
          </c:cat>
          <c:val>
            <c:numRef>
              <c:f>NOMBRE!$I$4:$K$4</c:f>
              <c:numCache>
                <c:formatCode>General</c:formatCode>
                <c:ptCount val="3"/>
                <c:pt idx="0">
                  <c:v>36</c:v>
                </c:pt>
                <c:pt idx="1">
                  <c:v>27</c:v>
                </c:pt>
                <c:pt idx="2">
                  <c:v>37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038461145664184"/>
          <c:y val="0.40206357891064221"/>
          <c:w val="0.1703287478170287"/>
          <c:h val="0.203928919761162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9524</xdr:rowOff>
    </xdr:from>
    <xdr:to>
      <xdr:col>6</xdr:col>
      <xdr:colOff>495300</xdr:colOff>
      <xdr:row>18</xdr:row>
      <xdr:rowOff>114299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B1:F21" totalsRowShown="0">
  <autoFilter ref="B1:F21"/>
  <tableColumns count="5">
    <tableColumn id="1" name="zoneA">
      <calculatedColumnFormula>récupération(A!A2,A!B2,A!C2,A!D2,A!E2,A!F2,A!G2)</calculatedColumnFormula>
    </tableColumn>
    <tableColumn id="2" name="ZoneB">
      <calculatedColumnFormula>récupération(B!A2,B!B2,B!C2,B!D2,B!E2,B!F2,B!G2)</calculatedColumnFormula>
    </tableColumn>
    <tableColumn id="3" name="ZoneC">
      <calculatedColumnFormula>récupération('C'!A2,'C'!B2,'C'!C2,'C'!D2,'C'!E2,'C'!F2,'C'!G2)</calculatedColumnFormula>
    </tableColumn>
    <tableColumn id="4" name="ZoneD">
      <calculatedColumnFormula>récupération(D!A2,D!B2,D!C2,D!D2,D!E2,D!F2,D!G2)</calculatedColumnFormula>
    </tableColumn>
    <tableColumn id="5" name="ZoneE">
      <calculatedColumnFormula>récupération(E!A2,E!B2,E!C2,E!D2,E!E2,E!F2,E!G2)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 filterMode="1"/>
  <dimension ref="A1:M21"/>
  <sheetViews>
    <sheetView showGridLines="0" workbookViewId="0">
      <selection activeCell="N12" sqref="N12"/>
    </sheetView>
  </sheetViews>
  <sheetFormatPr baseColWidth="10" defaultRowHeight="15" x14ac:dyDescent="0.25"/>
  <cols>
    <col min="1" max="7" width="11.42578125" style="1"/>
  </cols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16" t="s">
        <v>12</v>
      </c>
    </row>
    <row r="2" spans="1:13" ht="15.75" hidden="1" thickBot="1" x14ac:dyDescent="0.3">
      <c r="A2" s="15">
        <v>-12669592</v>
      </c>
      <c r="B2" s="15">
        <v>10220287</v>
      </c>
      <c r="C2" s="15">
        <v>11602297</v>
      </c>
      <c r="D2" s="15">
        <v>10120287</v>
      </c>
      <c r="E2" s="15">
        <v>356403</v>
      </c>
      <c r="F2" s="15">
        <v>24271889</v>
      </c>
      <c r="G2" s="15">
        <v>10632838</v>
      </c>
      <c r="H2" s="21">
        <f>ratio(A2,C2)</f>
        <v>-1.0919899740542756</v>
      </c>
      <c r="I2" s="21">
        <f>ratio(B2,C2)</f>
        <v>0.88088479376109752</v>
      </c>
      <c r="J2" s="21">
        <f>ratio(D2,C2)</f>
        <v>0.87226581081315191</v>
      </c>
      <c r="K2" s="21">
        <f>ratio(E2,F2)</f>
        <v>1.4683776775676586E-2</v>
      </c>
      <c r="L2" s="21">
        <f>ratio(G2,C2)</f>
        <v>0.91644249410267642</v>
      </c>
      <c r="M2" s="17">
        <f>SCore_Altman(H2,I2,J2,K2,L2)</f>
        <v>3.7256642357577872</v>
      </c>
    </row>
    <row r="3" spans="1:13" ht="15.75" thickBot="1" x14ac:dyDescent="0.3">
      <c r="A3" s="15">
        <v>25099</v>
      </c>
      <c r="B3" s="15">
        <v>4788760</v>
      </c>
      <c r="C3" s="15">
        <v>13566555</v>
      </c>
      <c r="D3" s="15">
        <v>4688760</v>
      </c>
      <c r="E3" s="15">
        <v>304782</v>
      </c>
      <c r="F3" s="15">
        <v>13541456</v>
      </c>
      <c r="G3" s="15">
        <v>5057196</v>
      </c>
      <c r="H3" s="21">
        <v>1.8524235389976509E-3</v>
      </c>
      <c r="I3" s="21">
        <v>0.45317626063328426</v>
      </c>
      <c r="J3" s="21">
        <v>0.572021539968807</v>
      </c>
      <c r="K3" s="21">
        <v>2.2681912309579673E-2</v>
      </c>
      <c r="L3" s="21">
        <v>0.45250462502431926</v>
      </c>
      <c r="M3" s="17">
        <f t="shared" ref="M3:M21" si="0">SCore_Altman(H3,I3,J3,K3,L3)</f>
        <v>2.9900020228155011</v>
      </c>
    </row>
    <row r="4" spans="1:13" ht="15.75" thickBot="1" x14ac:dyDescent="0.3">
      <c r="A4" s="15">
        <v>5697159</v>
      </c>
      <c r="B4" s="15">
        <v>3196660</v>
      </c>
      <c r="C4" s="15">
        <v>24032434</v>
      </c>
      <c r="D4" s="15">
        <v>3096660</v>
      </c>
      <c r="E4" s="15">
        <v>123104</v>
      </c>
      <c r="F4" s="15">
        <v>18335275</v>
      </c>
      <c r="G4" s="15">
        <v>3669992</v>
      </c>
      <c r="H4" s="21">
        <v>0.64575691771021793</v>
      </c>
      <c r="I4" s="21">
        <v>0.28312904325953975</v>
      </c>
      <c r="J4" s="21">
        <v>0.46090308591071688</v>
      </c>
      <c r="K4" s="21">
        <v>6.8779674356081611E-3</v>
      </c>
      <c r="L4" s="21">
        <v>0.29389797218984481</v>
      </c>
      <c r="M4" s="17">
        <f t="shared" si="0"/>
        <v>2.990000000000002</v>
      </c>
    </row>
    <row r="5" spans="1:13" ht="15.75" hidden="1" thickBot="1" x14ac:dyDescent="0.3">
      <c r="A5" s="15">
        <v>115702</v>
      </c>
      <c r="B5" s="15">
        <v>13625272</v>
      </c>
      <c r="C5" s="15">
        <v>14446232</v>
      </c>
      <c r="D5" s="15">
        <v>13525272</v>
      </c>
      <c r="E5" s="15">
        <v>476972</v>
      </c>
      <c r="F5" s="15">
        <v>14330530</v>
      </c>
      <c r="G5" s="15">
        <v>14166333</v>
      </c>
      <c r="H5" s="21">
        <f t="shared" ref="H5:H20" si="1">ratio(A5,C5)</f>
        <v>8.0091472987558286E-3</v>
      </c>
      <c r="I5" s="21">
        <f t="shared" ref="I5:I20" si="2">ratio(B5,C5)</f>
        <v>0.94317134045749784</v>
      </c>
      <c r="J5" s="21">
        <f t="shared" ref="J5:J20" si="3">ratio(D5,C5)</f>
        <v>0.93624912018580342</v>
      </c>
      <c r="K5" s="21">
        <f t="shared" ref="K5:K20" si="4">ratio(E5,F5)</f>
        <v>3.3283625937072805E-2</v>
      </c>
      <c r="L5" s="21">
        <f t="shared" ref="L5:L20" si="5">ratio(G5,C5)</f>
        <v>0.98062477468173015</v>
      </c>
      <c r="M5" s="17">
        <f t="shared" si="0"/>
        <v>5.4192872754814472</v>
      </c>
    </row>
    <row r="6" spans="1:13" ht="15.75" hidden="1" thickBot="1" x14ac:dyDescent="0.3">
      <c r="A6" s="15">
        <v>3816720</v>
      </c>
      <c r="B6" s="15">
        <v>9331367</v>
      </c>
      <c r="C6" s="15">
        <v>16832148</v>
      </c>
      <c r="D6" s="15">
        <v>9231367</v>
      </c>
      <c r="E6" s="15">
        <v>309696</v>
      </c>
      <c r="F6" s="15">
        <v>13015428</v>
      </c>
      <c r="G6" s="15">
        <v>10023146</v>
      </c>
      <c r="H6" s="21">
        <f t="shared" si="1"/>
        <v>0.22675180850358492</v>
      </c>
      <c r="I6" s="21">
        <f t="shared" si="2"/>
        <v>0.55437767063359944</v>
      </c>
      <c r="J6" s="21">
        <f t="shared" si="3"/>
        <v>0.54843665823280541</v>
      </c>
      <c r="K6" s="21">
        <f t="shared" si="4"/>
        <v>2.3794530613975969E-2</v>
      </c>
      <c r="L6" s="21">
        <f t="shared" si="5"/>
        <v>0.5954763468096882</v>
      </c>
      <c r="M6" s="17">
        <f t="shared" si="0"/>
        <v>3.4672294700908628</v>
      </c>
    </row>
    <row r="7" spans="1:13" ht="15.75" thickBot="1" x14ac:dyDescent="0.3">
      <c r="A7" s="15">
        <v>14124528</v>
      </c>
      <c r="B7" s="15">
        <v>7460138</v>
      </c>
      <c r="C7" s="15">
        <v>24258979</v>
      </c>
      <c r="D7" s="15">
        <v>7360138</v>
      </c>
      <c r="E7" s="15">
        <v>458504</v>
      </c>
      <c r="F7" s="15">
        <v>10134451</v>
      </c>
      <c r="G7" s="15">
        <v>8241103</v>
      </c>
      <c r="H7" s="21">
        <v>0.69417535203912273</v>
      </c>
      <c r="I7" s="21">
        <v>0.34395101768035147</v>
      </c>
      <c r="J7" s="21">
        <v>0.38698327755154688</v>
      </c>
      <c r="K7" s="21">
        <v>4.5580042630614832E-2</v>
      </c>
      <c r="L7" s="21">
        <v>0.37143674805015575</v>
      </c>
      <c r="M7" s="17">
        <f t="shared" si="0"/>
        <v>2.990000000000018</v>
      </c>
    </row>
    <row r="8" spans="1:13" ht="15.75" thickBot="1" x14ac:dyDescent="0.3">
      <c r="A8" s="15">
        <v>1559563</v>
      </c>
      <c r="B8" s="15">
        <v>8221100</v>
      </c>
      <c r="C8" s="15">
        <v>19201074</v>
      </c>
      <c r="D8" s="15">
        <v>8121100</v>
      </c>
      <c r="E8" s="15">
        <v>410821</v>
      </c>
      <c r="F8" s="15">
        <v>17641511</v>
      </c>
      <c r="G8" s="15">
        <v>8583139</v>
      </c>
      <c r="H8" s="21">
        <v>8.2596920098261889E-2</v>
      </c>
      <c r="I8" s="21">
        <v>0.47270942821458178</v>
      </c>
      <c r="J8" s="21">
        <v>0.52542439159650567</v>
      </c>
      <c r="K8" s="21">
        <v>2.3343659136683327E-2</v>
      </c>
      <c r="L8" s="21">
        <v>0.48166547410539978</v>
      </c>
      <c r="M8" s="17">
        <f t="shared" si="0"/>
        <v>2.9900000000001019</v>
      </c>
    </row>
    <row r="9" spans="1:13" ht="15.75" thickBot="1" x14ac:dyDescent="0.3">
      <c r="A9" s="15">
        <v>7220041</v>
      </c>
      <c r="B9" s="15">
        <v>3141192</v>
      </c>
      <c r="C9" s="15">
        <v>19726999</v>
      </c>
      <c r="D9" s="15">
        <v>3041192</v>
      </c>
      <c r="E9" s="15">
        <v>113888</v>
      </c>
      <c r="F9" s="15">
        <v>12506958</v>
      </c>
      <c r="G9" s="15">
        <v>3469461</v>
      </c>
      <c r="H9" s="21">
        <v>0.86063051982257965</v>
      </c>
      <c r="I9" s="21">
        <v>0.26846243341940929</v>
      </c>
      <c r="J9" s="21">
        <v>0.39550085899463855</v>
      </c>
      <c r="K9" s="21">
        <v>9.2590616497194959E-3</v>
      </c>
      <c r="L9" s="21">
        <v>0.27095865641002753</v>
      </c>
      <c r="M9" s="17">
        <f t="shared" si="0"/>
        <v>2.9900000000000251</v>
      </c>
    </row>
    <row r="10" spans="1:13" ht="15.75" thickBot="1" x14ac:dyDescent="0.3">
      <c r="A10" s="15">
        <v>-7705792</v>
      </c>
      <c r="B10" s="15">
        <v>6297910</v>
      </c>
      <c r="C10" s="15">
        <v>13749043</v>
      </c>
      <c r="D10" s="15">
        <v>6197910</v>
      </c>
      <c r="E10" s="15">
        <v>223844</v>
      </c>
      <c r="F10" s="15">
        <v>21454835</v>
      </c>
      <c r="G10" s="15">
        <v>7004684</v>
      </c>
      <c r="H10" s="21">
        <v>3.9087791433862706E-2</v>
      </c>
      <c r="I10" s="21">
        <v>0.4885228480550346</v>
      </c>
      <c r="J10" s="21">
        <v>0.52032768505864746</v>
      </c>
      <c r="K10" s="21">
        <v>1.0440038678670148E-2</v>
      </c>
      <c r="L10" s="21">
        <v>0.53635560626137657</v>
      </c>
      <c r="M10" s="17">
        <f t="shared" si="0"/>
        <v>2.9900019715535375</v>
      </c>
    </row>
    <row r="11" spans="1:13" ht="15.75" hidden="1" thickBot="1" x14ac:dyDescent="0.3">
      <c r="A11" s="15">
        <v>-5770669</v>
      </c>
      <c r="B11" s="15">
        <v>10843396</v>
      </c>
      <c r="C11" s="15">
        <v>13446647</v>
      </c>
      <c r="D11" s="15">
        <v>10743396</v>
      </c>
      <c r="E11" s="15">
        <v>293434</v>
      </c>
      <c r="F11" s="15">
        <v>19217316</v>
      </c>
      <c r="G11" s="15">
        <v>11620394</v>
      </c>
      <c r="H11" s="21">
        <f t="shared" si="1"/>
        <v>-0.42915300743746748</v>
      </c>
      <c r="I11" s="21">
        <f t="shared" si="2"/>
        <v>0.80640147688862507</v>
      </c>
      <c r="J11" s="21">
        <f t="shared" si="3"/>
        <v>0.79896467870391774</v>
      </c>
      <c r="K11" s="21">
        <f t="shared" si="4"/>
        <v>1.5269249878599072E-2</v>
      </c>
      <c r="L11" s="21">
        <f t="shared" si="5"/>
        <v>0.86418525004783719</v>
      </c>
      <c r="M11" s="17">
        <f t="shared" si="0"/>
        <v>4.1230445131669917</v>
      </c>
    </row>
    <row r="12" spans="1:13" ht="15.75" thickBot="1" x14ac:dyDescent="0.3">
      <c r="A12" s="15">
        <v>162202</v>
      </c>
      <c r="B12" s="15">
        <v>2707649</v>
      </c>
      <c r="C12" s="15">
        <v>23575056</v>
      </c>
      <c r="D12" s="15">
        <v>2607649</v>
      </c>
      <c r="E12" s="15">
        <v>245758</v>
      </c>
      <c r="F12" s="15">
        <v>23412854</v>
      </c>
      <c r="G12" s="15">
        <v>3471145</v>
      </c>
      <c r="H12" s="21">
        <v>7.6035362451667109E-3</v>
      </c>
      <c r="I12" s="21">
        <v>0.34999764010641243</v>
      </c>
      <c r="J12" s="21">
        <v>0.62469660615831069</v>
      </c>
      <c r="K12" s="21">
        <v>1.1338470121283729E-2</v>
      </c>
      <c r="L12" s="21">
        <v>0.42300017813976759</v>
      </c>
      <c r="M12" s="17">
        <f t="shared" si="0"/>
        <v>2.99</v>
      </c>
    </row>
    <row r="13" spans="1:13" ht="15.75" thickBot="1" x14ac:dyDescent="0.3">
      <c r="A13" s="15">
        <v>10279145</v>
      </c>
      <c r="B13" s="15">
        <v>4100015</v>
      </c>
      <c r="C13" s="15">
        <v>20671895</v>
      </c>
      <c r="D13" s="15">
        <v>4000015</v>
      </c>
      <c r="E13" s="15">
        <v>340240</v>
      </c>
      <c r="F13" s="15">
        <v>10392750</v>
      </c>
      <c r="G13" s="15">
        <v>4899009</v>
      </c>
      <c r="H13" s="21">
        <v>0.90087875147711294</v>
      </c>
      <c r="I13" s="21">
        <v>0.27325517011157818</v>
      </c>
      <c r="J13" s="21">
        <v>0.36158234500716263</v>
      </c>
      <c r="K13" s="21">
        <v>3.3613001552962804E-2</v>
      </c>
      <c r="L13" s="21">
        <v>0.31331380374024392</v>
      </c>
      <c r="M13" s="17">
        <f t="shared" si="0"/>
        <v>2.9900017693206626</v>
      </c>
    </row>
    <row r="14" spans="1:13" ht="15.75" thickBot="1" x14ac:dyDescent="0.3">
      <c r="A14" s="15">
        <v>-816657</v>
      </c>
      <c r="B14" s="15">
        <v>3314632</v>
      </c>
      <c r="C14" s="15">
        <v>15620529</v>
      </c>
      <c r="D14" s="15">
        <v>3214632</v>
      </c>
      <c r="E14" s="15">
        <v>223387</v>
      </c>
      <c r="F14" s="15">
        <v>16437186</v>
      </c>
      <c r="G14" s="15">
        <v>4061840</v>
      </c>
      <c r="H14" s="21">
        <v>0</v>
      </c>
      <c r="I14" s="21">
        <v>0.39056884808297121</v>
      </c>
      <c r="J14" s="21">
        <v>0.60125638952708127</v>
      </c>
      <c r="K14" s="21">
        <v>1.3903910596485667E-2</v>
      </c>
      <c r="L14" s="21">
        <v>0.45116634723381654</v>
      </c>
      <c r="M14" s="17">
        <f t="shared" si="0"/>
        <v>2.990000000000002</v>
      </c>
    </row>
    <row r="15" spans="1:13" ht="15.75" thickBot="1" x14ac:dyDescent="0.3">
      <c r="A15" s="15">
        <v>-4693175</v>
      </c>
      <c r="B15" s="15">
        <v>2622315</v>
      </c>
      <c r="C15" s="15">
        <v>14177487</v>
      </c>
      <c r="D15" s="15">
        <v>2522315</v>
      </c>
      <c r="E15" s="15">
        <v>407920</v>
      </c>
      <c r="F15" s="15">
        <v>18870662</v>
      </c>
      <c r="G15" s="15">
        <v>2986883</v>
      </c>
      <c r="H15" s="21">
        <v>0.41130236833712219</v>
      </c>
      <c r="I15" s="21">
        <v>0.33477448928636805</v>
      </c>
      <c r="J15" s="21">
        <v>0.50461732737776666</v>
      </c>
      <c r="K15" s="21">
        <v>2.2493567941456356E-2</v>
      </c>
      <c r="L15" s="21">
        <v>0.34936892080383219</v>
      </c>
      <c r="M15" s="17">
        <f t="shared" si="0"/>
        <v>2.989999999999994</v>
      </c>
    </row>
    <row r="16" spans="1:13" ht="15.75" thickBot="1" x14ac:dyDescent="0.3">
      <c r="A16" s="15">
        <v>11803165</v>
      </c>
      <c r="B16" s="15">
        <v>9120635</v>
      </c>
      <c r="C16" s="15">
        <v>24192612</v>
      </c>
      <c r="D16" s="15">
        <v>9020635</v>
      </c>
      <c r="E16" s="15">
        <v>189359</v>
      </c>
      <c r="F16" s="15">
        <v>12389447</v>
      </c>
      <c r="G16" s="15">
        <v>9397810</v>
      </c>
      <c r="H16" s="21">
        <v>0.51899982523971688</v>
      </c>
      <c r="I16" s="21">
        <v>0.39867761866194668</v>
      </c>
      <c r="J16" s="21">
        <v>0.42284832282502988</v>
      </c>
      <c r="K16" s="21">
        <v>1.5299163108177879E-2</v>
      </c>
      <c r="L16" s="21">
        <v>0.40488020156245341</v>
      </c>
      <c r="M16" s="17">
        <f t="shared" si="0"/>
        <v>2.9900027409627814</v>
      </c>
    </row>
    <row r="17" spans="1:13" ht="15.75" thickBot="1" x14ac:dyDescent="0.3">
      <c r="A17" s="15">
        <v>5183016</v>
      </c>
      <c r="B17" s="15">
        <v>8787655</v>
      </c>
      <c r="C17" s="15">
        <v>19195036</v>
      </c>
      <c r="D17" s="15">
        <v>8687655</v>
      </c>
      <c r="E17" s="15">
        <v>123284</v>
      </c>
      <c r="F17" s="15">
        <v>14012020</v>
      </c>
      <c r="G17" s="15">
        <v>9587930</v>
      </c>
      <c r="H17" s="21">
        <v>0.27081274423159651</v>
      </c>
      <c r="I17" s="21">
        <v>0.46047220069016559</v>
      </c>
      <c r="J17" s="21">
        <v>0.45873516074030685</v>
      </c>
      <c r="K17" s="21">
        <v>8.7988675200936228E-3</v>
      </c>
      <c r="L17" s="21">
        <v>0.50176300081300595</v>
      </c>
      <c r="M17" s="17">
        <f t="shared" si="0"/>
        <v>2.9900029628114093</v>
      </c>
    </row>
    <row r="18" spans="1:13" ht="15.75" hidden="1" thickBot="1" x14ac:dyDescent="0.3">
      <c r="A18" s="15">
        <v>2841324</v>
      </c>
      <c r="B18" s="15">
        <v>10208886</v>
      </c>
      <c r="C18" s="15">
        <v>17581204</v>
      </c>
      <c r="D18" s="15">
        <v>10108886</v>
      </c>
      <c r="E18" s="15">
        <v>100485</v>
      </c>
      <c r="F18" s="15">
        <v>14739880</v>
      </c>
      <c r="G18" s="15">
        <v>10915048</v>
      </c>
      <c r="H18" s="21">
        <f t="shared" si="1"/>
        <v>0.16161145732681334</v>
      </c>
      <c r="I18" s="21">
        <f t="shared" si="2"/>
        <v>0.58067047057755539</v>
      </c>
      <c r="J18" s="21">
        <f t="shared" si="3"/>
        <v>0.57498257798498897</v>
      </c>
      <c r="K18" s="21">
        <f t="shared" si="4"/>
        <v>6.8172196788576301E-3</v>
      </c>
      <c r="L18" s="21">
        <f t="shared" si="5"/>
        <v>0.62083620666707473</v>
      </c>
      <c r="M18" s="17">
        <f t="shared" si="0"/>
        <v>3.5286206172189396</v>
      </c>
    </row>
    <row r="19" spans="1:13" ht="15.75" thickBot="1" x14ac:dyDescent="0.3">
      <c r="A19" s="15">
        <v>2034404</v>
      </c>
      <c r="B19" s="15">
        <v>6354879</v>
      </c>
      <c r="C19" s="15">
        <v>20751230</v>
      </c>
      <c r="D19" s="15">
        <v>6254879</v>
      </c>
      <c r="E19" s="15">
        <v>326177</v>
      </c>
      <c r="F19" s="15">
        <v>18716826</v>
      </c>
      <c r="G19" s="15">
        <v>7279835</v>
      </c>
      <c r="H19" s="21">
        <v>0.1076168966182562</v>
      </c>
      <c r="I19" s="21">
        <v>0.41528803761322353</v>
      </c>
      <c r="J19" s="21">
        <v>0.55043547415398564</v>
      </c>
      <c r="K19" s="21">
        <v>1.7578279258078811E-2</v>
      </c>
      <c r="L19" s="21">
        <v>0.45292726840064718</v>
      </c>
      <c r="M19" s="17">
        <f t="shared" si="0"/>
        <v>2.9900019019956665</v>
      </c>
    </row>
    <row r="20" spans="1:13" ht="15.75" hidden="1" thickBot="1" x14ac:dyDescent="0.3">
      <c r="A20" s="15">
        <v>-1275318</v>
      </c>
      <c r="B20" s="15">
        <v>9373731</v>
      </c>
      <c r="C20" s="15">
        <v>16635128</v>
      </c>
      <c r="D20" s="15">
        <v>9273731</v>
      </c>
      <c r="E20" s="15">
        <v>231357</v>
      </c>
      <c r="F20" s="15">
        <v>17910446</v>
      </c>
      <c r="G20" s="15">
        <v>10109637</v>
      </c>
      <c r="H20" s="21">
        <f t="shared" si="1"/>
        <v>-7.6664153110213518E-2</v>
      </c>
      <c r="I20" s="21">
        <f t="shared" si="2"/>
        <v>0.56349016370658522</v>
      </c>
      <c r="J20" s="21">
        <f t="shared" si="3"/>
        <v>0.55747878826060127</v>
      </c>
      <c r="K20" s="21">
        <f t="shared" si="4"/>
        <v>1.291743377021432E-2</v>
      </c>
      <c r="L20" s="21">
        <f t="shared" si="5"/>
        <v>0.60772823629610784</v>
      </c>
      <c r="M20" s="17">
        <f t="shared" si="0"/>
        <v>3.1514402150388876</v>
      </c>
    </row>
    <row r="21" spans="1:13" ht="15.75" thickBot="1" x14ac:dyDescent="0.3">
      <c r="A21" s="15">
        <v>-5685903</v>
      </c>
      <c r="B21" s="15">
        <v>2132209</v>
      </c>
      <c r="C21" s="15">
        <v>12453407</v>
      </c>
      <c r="D21" s="15">
        <v>2032209</v>
      </c>
      <c r="E21" s="15">
        <v>308071</v>
      </c>
      <c r="F21" s="15">
        <v>18139310</v>
      </c>
      <c r="G21" s="15">
        <v>2642118</v>
      </c>
      <c r="H21" s="21">
        <v>0.71855769368153366</v>
      </c>
      <c r="I21" s="21">
        <v>0.28910277224195513</v>
      </c>
      <c r="J21" s="21">
        <v>0.4156098668880211</v>
      </c>
      <c r="K21" s="21">
        <v>1.7480740971847354E-2</v>
      </c>
      <c r="L21" s="21">
        <v>0.34132720833817981</v>
      </c>
      <c r="M21" s="17">
        <f t="shared" si="0"/>
        <v>2.9899999999999975</v>
      </c>
    </row>
  </sheetData>
  <autoFilter ref="A1:M21">
    <filterColumn colId="12">
      <customFilters>
        <customFilter operator="lessThan" val="1.81"/>
        <customFilter operator="lessThan" val="2.99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1"/>
  <sheetViews>
    <sheetView showGridLines="0" topLeftCell="A2" workbookViewId="0">
      <selection activeCell="O21" sqref="O21"/>
    </sheetView>
  </sheetViews>
  <sheetFormatPr baseColWidth="10" defaultRowHeight="15" x14ac:dyDescent="0.25"/>
  <cols>
    <col min="1" max="7" width="11.42578125" style="1"/>
  </cols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16" t="s">
        <v>12</v>
      </c>
    </row>
    <row r="2" spans="1:13" ht="15.75" thickBot="1" x14ac:dyDescent="0.3">
      <c r="A2" s="15">
        <v>-12669592</v>
      </c>
      <c r="B2" s="15">
        <v>10220287</v>
      </c>
      <c r="C2" s="15">
        <v>11602297</v>
      </c>
      <c r="D2" s="15">
        <v>10120287</v>
      </c>
      <c r="E2" s="15">
        <v>356403</v>
      </c>
      <c r="F2" s="15">
        <v>24271889</v>
      </c>
      <c r="G2" s="15">
        <v>10632838</v>
      </c>
      <c r="H2" s="21">
        <f>ratio(A2,C2)</f>
        <v>-1.0919899740542756</v>
      </c>
      <c r="I2" s="21">
        <f>ratio(B2,C2)</f>
        <v>0.88088479376109752</v>
      </c>
      <c r="J2" s="21">
        <f>ratio(D2,C2)</f>
        <v>0.87226581081315191</v>
      </c>
      <c r="K2" s="21">
        <f>ratio(E2,F2)</f>
        <v>1.4683776775676586E-2</v>
      </c>
      <c r="L2" s="21">
        <f>ratio(G2,C2)</f>
        <v>0.91644249410267642</v>
      </c>
      <c r="M2" s="17">
        <f>SCore_Altman(H2,I2,J2,K2,L2)</f>
        <v>3.7256642357577872</v>
      </c>
    </row>
    <row r="3" spans="1:13" ht="15.75" thickBot="1" x14ac:dyDescent="0.3">
      <c r="A3" s="15">
        <v>25099</v>
      </c>
      <c r="B3" s="15">
        <v>4788760</v>
      </c>
      <c r="C3" s="15">
        <v>13566555</v>
      </c>
      <c r="D3" s="15">
        <v>4688760</v>
      </c>
      <c r="E3" s="15">
        <v>304782</v>
      </c>
      <c r="F3" s="15">
        <v>13541456</v>
      </c>
      <c r="G3" s="15">
        <v>5057196</v>
      </c>
      <c r="H3" s="21">
        <f t="shared" ref="H3:H21" si="0">ratio(A3,C3)</f>
        <v>1.8500643678516764E-3</v>
      </c>
      <c r="I3" s="21">
        <f t="shared" ref="I3:I21" si="1">ratio(B3,C3)</f>
        <v>0.35298275796618966</v>
      </c>
      <c r="J3" s="21">
        <f t="shared" ref="J3:J21" si="2">ratio(D3,C3)</f>
        <v>0.34561168992422908</v>
      </c>
      <c r="K3" s="21">
        <f t="shared" ref="K3:K21" si="3">ratio(E3,F3)</f>
        <v>2.2507328606318256E-2</v>
      </c>
      <c r="L3" s="21">
        <f t="shared" ref="L3:L21" si="4">ratio(G3,C3)</f>
        <v>0.37276935817530688</v>
      </c>
      <c r="M3" s="17">
        <f t="shared" ref="M3:M21" si="5">SCore_Altman(H3,I3,J3,K3,L3)</f>
        <v>2.022815501124966</v>
      </c>
    </row>
    <row r="4" spans="1:13" ht="15.75" thickBot="1" x14ac:dyDescent="0.3">
      <c r="A4" s="15">
        <v>5697159</v>
      </c>
      <c r="B4" s="15">
        <v>3196660</v>
      </c>
      <c r="C4" s="15">
        <v>24032434</v>
      </c>
      <c r="D4" s="15">
        <v>3096660</v>
      </c>
      <c r="E4" s="15">
        <v>123104</v>
      </c>
      <c r="F4" s="15">
        <v>18335275</v>
      </c>
      <c r="G4" s="15">
        <v>3669992</v>
      </c>
      <c r="H4" s="21">
        <f t="shared" si="0"/>
        <v>0.23706125646698956</v>
      </c>
      <c r="I4" s="21">
        <f t="shared" si="1"/>
        <v>0.13301440877773762</v>
      </c>
      <c r="J4" s="21">
        <f t="shared" si="2"/>
        <v>0.12885336541442285</v>
      </c>
      <c r="K4" s="21">
        <f t="shared" si="3"/>
        <v>6.7140525571609917E-3</v>
      </c>
      <c r="L4" s="21">
        <f t="shared" si="4"/>
        <v>0.15270995855018263</v>
      </c>
      <c r="M4" s="17">
        <f t="shared" si="5"/>
        <v>1.0524954660427444</v>
      </c>
    </row>
    <row r="5" spans="1:13" ht="15.75" thickBot="1" x14ac:dyDescent="0.3">
      <c r="A5" s="15">
        <v>115702</v>
      </c>
      <c r="B5" s="15">
        <v>13625272</v>
      </c>
      <c r="C5" s="15">
        <v>14446232</v>
      </c>
      <c r="D5" s="15">
        <v>13525272</v>
      </c>
      <c r="E5" s="15">
        <v>476972</v>
      </c>
      <c r="F5" s="15">
        <v>14330530</v>
      </c>
      <c r="G5" s="15">
        <v>14166333</v>
      </c>
      <c r="H5" s="21">
        <f t="shared" si="0"/>
        <v>8.0091472987558286E-3</v>
      </c>
      <c r="I5" s="21">
        <f t="shared" si="1"/>
        <v>0.94317134045749784</v>
      </c>
      <c r="J5" s="21">
        <f t="shared" si="2"/>
        <v>0.93624912018580342</v>
      </c>
      <c r="K5" s="21">
        <f t="shared" si="3"/>
        <v>3.3283625937072805E-2</v>
      </c>
      <c r="L5" s="21">
        <f t="shared" si="4"/>
        <v>0.98062477468173015</v>
      </c>
      <c r="M5" s="17">
        <f t="shared" si="5"/>
        <v>5.4192872754814472</v>
      </c>
    </row>
    <row r="6" spans="1:13" ht="15.75" thickBot="1" x14ac:dyDescent="0.3">
      <c r="A6" s="15">
        <v>3816720</v>
      </c>
      <c r="B6" s="15">
        <v>9331367</v>
      </c>
      <c r="C6" s="15">
        <v>16832148</v>
      </c>
      <c r="D6" s="15">
        <v>9231367</v>
      </c>
      <c r="E6" s="15">
        <v>309696</v>
      </c>
      <c r="F6" s="15">
        <v>13015428</v>
      </c>
      <c r="G6" s="15">
        <v>10023146</v>
      </c>
      <c r="H6" s="21">
        <f t="shared" si="0"/>
        <v>0.22675180850358492</v>
      </c>
      <c r="I6" s="21">
        <f t="shared" si="1"/>
        <v>0.55437767063359944</v>
      </c>
      <c r="J6" s="21">
        <f t="shared" si="2"/>
        <v>0.54843665823280541</v>
      </c>
      <c r="K6" s="21">
        <f t="shared" si="3"/>
        <v>2.3794530613975969E-2</v>
      </c>
      <c r="L6" s="21">
        <f t="shared" si="4"/>
        <v>0.5954763468096882</v>
      </c>
      <c r="M6" s="17">
        <f t="shared" si="5"/>
        <v>3.4672294700908628</v>
      </c>
    </row>
    <row r="7" spans="1:13" ht="15.75" thickBot="1" x14ac:dyDescent="0.3">
      <c r="A7" s="15">
        <v>14124528</v>
      </c>
      <c r="B7" s="15">
        <v>7460138</v>
      </c>
      <c r="C7" s="15">
        <v>24258979</v>
      </c>
      <c r="D7" s="15">
        <v>7360138</v>
      </c>
      <c r="E7" s="15">
        <v>458504</v>
      </c>
      <c r="F7" s="15">
        <v>10134451</v>
      </c>
      <c r="G7" s="15">
        <v>8241103</v>
      </c>
      <c r="H7" s="21">
        <f t="shared" si="0"/>
        <v>0.58223917832650751</v>
      </c>
      <c r="I7" s="21">
        <f t="shared" si="1"/>
        <v>0.30752069161690604</v>
      </c>
      <c r="J7" s="21">
        <f t="shared" si="2"/>
        <v>0.30339850659007539</v>
      </c>
      <c r="K7" s="21">
        <f t="shared" si="3"/>
        <v>4.5242115236434614E-2</v>
      </c>
      <c r="L7" s="21">
        <f t="shared" si="4"/>
        <v>0.3397135139116943</v>
      </c>
      <c r="M7" s="17">
        <f t="shared" si="5"/>
        <v>2.4969501235423697</v>
      </c>
    </row>
    <row r="8" spans="1:13" ht="15.75" thickBot="1" x14ac:dyDescent="0.3">
      <c r="A8" s="15">
        <v>1559563</v>
      </c>
      <c r="B8" s="15">
        <v>8221100</v>
      </c>
      <c r="C8" s="15">
        <v>19201074</v>
      </c>
      <c r="D8" s="15">
        <v>8121100</v>
      </c>
      <c r="E8" s="15">
        <v>410821</v>
      </c>
      <c r="F8" s="15">
        <v>17641511</v>
      </c>
      <c r="G8" s="15">
        <v>8583139</v>
      </c>
      <c r="H8" s="21">
        <f t="shared" si="0"/>
        <v>8.1222696188765278E-2</v>
      </c>
      <c r="I8" s="21">
        <f t="shared" si="1"/>
        <v>0.42815834155943566</v>
      </c>
      <c r="J8" s="21">
        <f t="shared" si="2"/>
        <v>0.4229502995509522</v>
      </c>
      <c r="K8" s="21">
        <f t="shared" si="3"/>
        <v>2.3287177611940383E-2</v>
      </c>
      <c r="L8" s="21">
        <f t="shared" si="4"/>
        <v>0.44701348476652919</v>
      </c>
      <c r="M8" s="17">
        <f t="shared" si="5"/>
        <v>2.5531636799767976</v>
      </c>
    </row>
    <row r="9" spans="1:13" ht="15.75" thickBot="1" x14ac:dyDescent="0.3">
      <c r="A9" s="15">
        <v>7220041</v>
      </c>
      <c r="B9" s="15">
        <v>3141192</v>
      </c>
      <c r="C9" s="15">
        <v>19726999</v>
      </c>
      <c r="D9" s="15">
        <v>3041192</v>
      </c>
      <c r="E9" s="15">
        <v>113888</v>
      </c>
      <c r="F9" s="15">
        <v>12506958</v>
      </c>
      <c r="G9" s="15">
        <v>3469461</v>
      </c>
      <c r="H9" s="21">
        <f t="shared" si="0"/>
        <v>0.36599794018340043</v>
      </c>
      <c r="I9" s="21">
        <f t="shared" si="1"/>
        <v>0.15923314032712224</v>
      </c>
      <c r="J9" s="21">
        <f t="shared" si="2"/>
        <v>0.15416394556516175</v>
      </c>
      <c r="K9" s="21">
        <f t="shared" si="3"/>
        <v>9.1059712521621965E-3</v>
      </c>
      <c r="L9" s="21">
        <f t="shared" si="4"/>
        <v>0.17587373528026234</v>
      </c>
      <c r="M9" s="17">
        <f t="shared" si="5"/>
        <v>1.3520263893393647</v>
      </c>
    </row>
    <row r="10" spans="1:13" ht="15.75" thickBot="1" x14ac:dyDescent="0.3">
      <c r="A10" s="15">
        <v>-7705792</v>
      </c>
      <c r="B10" s="15">
        <v>6297910</v>
      </c>
      <c r="C10" s="15">
        <v>13749043</v>
      </c>
      <c r="D10" s="15">
        <v>6197910</v>
      </c>
      <c r="E10" s="15">
        <v>223844</v>
      </c>
      <c r="F10" s="15">
        <v>21454835</v>
      </c>
      <c r="G10" s="15">
        <v>7004684</v>
      </c>
      <c r="H10" s="21">
        <f t="shared" si="0"/>
        <v>-0.56046024439664632</v>
      </c>
      <c r="I10" s="21">
        <f t="shared" si="1"/>
        <v>0.45806169927608781</v>
      </c>
      <c r="J10" s="21">
        <f t="shared" si="2"/>
        <v>0.45078846578630966</v>
      </c>
      <c r="K10" s="21">
        <f t="shared" si="3"/>
        <v>1.0433265974779112E-2</v>
      </c>
      <c r="L10" s="21">
        <f t="shared" si="4"/>
        <v>0.50946702254113252</v>
      </c>
      <c r="M10" s="17">
        <f t="shared" si="5"/>
        <v>1.9715535379088278</v>
      </c>
    </row>
    <row r="11" spans="1:13" ht="15.75" thickBot="1" x14ac:dyDescent="0.3">
      <c r="A11" s="15">
        <v>-5770669</v>
      </c>
      <c r="B11" s="15">
        <v>10843396</v>
      </c>
      <c r="C11" s="15">
        <v>13446647</v>
      </c>
      <c r="D11" s="15">
        <v>10743396</v>
      </c>
      <c r="E11" s="15">
        <v>293434</v>
      </c>
      <c r="F11" s="15">
        <v>19217316</v>
      </c>
      <c r="G11" s="15">
        <v>11620394</v>
      </c>
      <c r="H11" s="21">
        <f t="shared" si="0"/>
        <v>-0.42915300743746748</v>
      </c>
      <c r="I11" s="21">
        <f t="shared" si="1"/>
        <v>0.80640147688862507</v>
      </c>
      <c r="J11" s="21">
        <f t="shared" si="2"/>
        <v>0.79896467870391774</v>
      </c>
      <c r="K11" s="21">
        <f t="shared" si="3"/>
        <v>1.5269249878599072E-2</v>
      </c>
      <c r="L11" s="21">
        <f t="shared" si="4"/>
        <v>0.86418525004783719</v>
      </c>
      <c r="M11" s="17">
        <f t="shared" si="5"/>
        <v>4.1230445131669917</v>
      </c>
    </row>
    <row r="12" spans="1:13" ht="15.75" thickBot="1" x14ac:dyDescent="0.3">
      <c r="A12" s="15">
        <v>162202</v>
      </c>
      <c r="B12" s="15">
        <v>2707649</v>
      </c>
      <c r="C12" s="15">
        <v>23575056</v>
      </c>
      <c r="D12" s="15">
        <v>2607649</v>
      </c>
      <c r="E12" s="15">
        <v>245758</v>
      </c>
      <c r="F12" s="15">
        <v>23412854</v>
      </c>
      <c r="G12" s="15">
        <v>3471145</v>
      </c>
      <c r="H12" s="21">
        <f t="shared" si="0"/>
        <v>6.880238163591213E-3</v>
      </c>
      <c r="I12" s="21">
        <f t="shared" si="1"/>
        <v>0.11485228285353807</v>
      </c>
      <c r="J12" s="21">
        <f t="shared" si="2"/>
        <v>0.11061051138118187</v>
      </c>
      <c r="K12" s="21">
        <f t="shared" si="3"/>
        <v>1.049671261777825E-2</v>
      </c>
      <c r="L12" s="21">
        <f t="shared" si="4"/>
        <v>0.14723803837411881</v>
      </c>
      <c r="M12" s="17">
        <f t="shared" si="5"/>
        <v>0.68745299725557452</v>
      </c>
    </row>
    <row r="13" spans="1:13" ht="15.75" thickBot="1" x14ac:dyDescent="0.3">
      <c r="A13" s="15">
        <v>10279145</v>
      </c>
      <c r="B13" s="15">
        <v>4100015</v>
      </c>
      <c r="C13" s="15">
        <v>20671895</v>
      </c>
      <c r="D13" s="15">
        <v>4000015</v>
      </c>
      <c r="E13" s="15">
        <v>340240</v>
      </c>
      <c r="F13" s="15">
        <v>10392750</v>
      </c>
      <c r="G13" s="15">
        <v>4899009</v>
      </c>
      <c r="H13" s="21">
        <f t="shared" si="0"/>
        <v>0.49725218708783109</v>
      </c>
      <c r="I13" s="21">
        <f t="shared" si="1"/>
        <v>0.19833764635511161</v>
      </c>
      <c r="J13" s="21">
        <f t="shared" si="2"/>
        <v>0.19350016048359378</v>
      </c>
      <c r="K13" s="21">
        <f t="shared" si="3"/>
        <v>3.2738206923095425E-2</v>
      </c>
      <c r="L13" s="21">
        <f t="shared" si="4"/>
        <v>0.23698886821938675</v>
      </c>
      <c r="M13" s="17">
        <f t="shared" si="5"/>
        <v>1.7693206625034374</v>
      </c>
    </row>
    <row r="14" spans="1:13" ht="15.75" thickBot="1" x14ac:dyDescent="0.3">
      <c r="A14" s="15">
        <v>-816657</v>
      </c>
      <c r="B14" s="15">
        <v>3314632</v>
      </c>
      <c r="C14" s="15">
        <v>15620529</v>
      </c>
      <c r="D14" s="15">
        <v>3214632</v>
      </c>
      <c r="E14" s="15">
        <v>223387</v>
      </c>
      <c r="F14" s="15">
        <v>16437186</v>
      </c>
      <c r="G14" s="15">
        <v>4061840</v>
      </c>
      <c r="H14" s="21">
        <f t="shared" si="0"/>
        <v>-5.2281007896723602E-2</v>
      </c>
      <c r="I14" s="21">
        <f t="shared" si="1"/>
        <v>0.21219716694613863</v>
      </c>
      <c r="J14" s="21">
        <f t="shared" si="2"/>
        <v>0.20579533510036696</v>
      </c>
      <c r="K14" s="21">
        <f t="shared" si="3"/>
        <v>1.3590343261918433E-2</v>
      </c>
      <c r="L14" s="21">
        <f t="shared" si="4"/>
        <v>0.26003216664429224</v>
      </c>
      <c r="M14" s="17">
        <f t="shared" si="5"/>
        <v>1.1813897705145358</v>
      </c>
    </row>
    <row r="15" spans="1:13" ht="15.75" thickBot="1" x14ac:dyDescent="0.3">
      <c r="A15" s="15">
        <v>-4693175</v>
      </c>
      <c r="B15" s="15">
        <v>2622315</v>
      </c>
      <c r="C15" s="15">
        <v>14177487</v>
      </c>
      <c r="D15" s="15">
        <v>2522315</v>
      </c>
      <c r="E15" s="15">
        <v>407920</v>
      </c>
      <c r="F15" s="15">
        <v>18870662</v>
      </c>
      <c r="G15" s="15">
        <v>2986883</v>
      </c>
      <c r="H15" s="21">
        <f t="shared" si="0"/>
        <v>-0.3310301042772954</v>
      </c>
      <c r="I15" s="21">
        <f t="shared" si="1"/>
        <v>0.18496331543100691</v>
      </c>
      <c r="J15" s="21">
        <f t="shared" si="2"/>
        <v>0.17790987923318144</v>
      </c>
      <c r="K15" s="21">
        <f t="shared" si="3"/>
        <v>2.1616623730529434E-2</v>
      </c>
      <c r="L15" s="21">
        <f t="shared" si="4"/>
        <v>0.21067788670869528</v>
      </c>
      <c r="M15" s="17">
        <f t="shared" si="5"/>
        <v>0.67225230100045807</v>
      </c>
    </row>
    <row r="16" spans="1:13" ht="15.75" thickBot="1" x14ac:dyDescent="0.3">
      <c r="A16" s="15">
        <v>11803165</v>
      </c>
      <c r="B16" s="15">
        <v>9120635</v>
      </c>
      <c r="C16" s="15">
        <v>24192612</v>
      </c>
      <c r="D16" s="15">
        <v>9020635</v>
      </c>
      <c r="E16" s="15">
        <v>189359</v>
      </c>
      <c r="F16" s="15">
        <v>12389447</v>
      </c>
      <c r="G16" s="15">
        <v>9397810</v>
      </c>
      <c r="H16" s="21">
        <f t="shared" si="0"/>
        <v>0.48788303635837255</v>
      </c>
      <c r="I16" s="21">
        <f t="shared" si="1"/>
        <v>0.37700083810710477</v>
      </c>
      <c r="J16" s="21">
        <f t="shared" si="2"/>
        <v>0.37286734479104611</v>
      </c>
      <c r="K16" s="21">
        <f t="shared" si="3"/>
        <v>1.5283894430477809E-2</v>
      </c>
      <c r="L16" s="21">
        <f t="shared" si="4"/>
        <v>0.3884578482058903</v>
      </c>
      <c r="M16" s="17">
        <f t="shared" si="5"/>
        <v>2.7409627818064166</v>
      </c>
    </row>
    <row r="17" spans="1:13" ht="15.75" thickBot="1" x14ac:dyDescent="0.3">
      <c r="A17" s="15">
        <v>5183016</v>
      </c>
      <c r="B17" s="15">
        <v>8787655</v>
      </c>
      <c r="C17" s="15">
        <v>19195036</v>
      </c>
      <c r="D17" s="15">
        <v>8687655</v>
      </c>
      <c r="E17" s="15">
        <v>123284</v>
      </c>
      <c r="F17" s="15">
        <v>14012020</v>
      </c>
      <c r="G17" s="15">
        <v>9587930</v>
      </c>
      <c r="H17" s="21">
        <f t="shared" si="0"/>
        <v>0.27001856104880451</v>
      </c>
      <c r="I17" s="21">
        <f t="shared" si="1"/>
        <v>0.45780872721468197</v>
      </c>
      <c r="J17" s="21">
        <f t="shared" si="2"/>
        <v>0.45259904696193326</v>
      </c>
      <c r="K17" s="21">
        <f t="shared" si="3"/>
        <v>8.798445905729509E-3</v>
      </c>
      <c r="L17" s="21">
        <f t="shared" si="4"/>
        <v>0.49950049585736644</v>
      </c>
      <c r="M17" s="17">
        <f t="shared" si="5"/>
        <v>2.962811409238447</v>
      </c>
    </row>
    <row r="18" spans="1:13" ht="15.75" thickBot="1" x14ac:dyDescent="0.3">
      <c r="A18" s="15">
        <v>2841324</v>
      </c>
      <c r="B18" s="15">
        <v>10208886</v>
      </c>
      <c r="C18" s="15">
        <v>17581204</v>
      </c>
      <c r="D18" s="15">
        <v>10108886</v>
      </c>
      <c r="E18" s="15">
        <v>100485</v>
      </c>
      <c r="F18" s="15">
        <v>14739880</v>
      </c>
      <c r="G18" s="15">
        <v>10915048</v>
      </c>
      <c r="H18" s="21">
        <f t="shared" si="0"/>
        <v>0.16161145732681334</v>
      </c>
      <c r="I18" s="21">
        <f t="shared" si="1"/>
        <v>0.58067047057755539</v>
      </c>
      <c r="J18" s="21">
        <f t="shared" si="2"/>
        <v>0.57498257798498897</v>
      </c>
      <c r="K18" s="21">
        <f t="shared" si="3"/>
        <v>6.8172196788576301E-3</v>
      </c>
      <c r="L18" s="21">
        <f t="shared" si="4"/>
        <v>0.62083620666707473</v>
      </c>
      <c r="M18" s="17">
        <f t="shared" si="5"/>
        <v>3.5286206172189396</v>
      </c>
    </row>
    <row r="19" spans="1:13" ht="15.75" thickBot="1" x14ac:dyDescent="0.3">
      <c r="A19" s="15">
        <v>2034404</v>
      </c>
      <c r="B19" s="15">
        <v>6354879</v>
      </c>
      <c r="C19" s="15">
        <v>20751230</v>
      </c>
      <c r="D19" s="15">
        <v>6254879</v>
      </c>
      <c r="E19" s="15">
        <v>326177</v>
      </c>
      <c r="F19" s="15">
        <v>18716826</v>
      </c>
      <c r="G19" s="15">
        <v>7279835</v>
      </c>
      <c r="H19" s="21">
        <f t="shared" si="0"/>
        <v>9.8037754870434188E-2</v>
      </c>
      <c r="I19" s="21">
        <f t="shared" si="1"/>
        <v>0.30624107583020382</v>
      </c>
      <c r="J19" s="21">
        <f t="shared" si="2"/>
        <v>0.30142208437764895</v>
      </c>
      <c r="K19" s="21">
        <f t="shared" si="3"/>
        <v>1.7426939802720826E-2</v>
      </c>
      <c r="L19" s="21">
        <f t="shared" si="4"/>
        <v>0.35081462641009714</v>
      </c>
      <c r="M19" s="17">
        <f t="shared" si="5"/>
        <v>1.9019956661183675</v>
      </c>
    </row>
    <row r="20" spans="1:13" ht="15.75" thickBot="1" x14ac:dyDescent="0.3">
      <c r="A20" s="15">
        <v>-1275318</v>
      </c>
      <c r="B20" s="15">
        <v>9373731</v>
      </c>
      <c r="C20" s="15">
        <v>16635128</v>
      </c>
      <c r="D20" s="15">
        <v>9273731</v>
      </c>
      <c r="E20" s="15">
        <v>231357</v>
      </c>
      <c r="F20" s="15">
        <v>17910446</v>
      </c>
      <c r="G20" s="15">
        <v>10109637</v>
      </c>
      <c r="H20" s="21">
        <f t="shared" si="0"/>
        <v>-7.6664153110213518E-2</v>
      </c>
      <c r="I20" s="21">
        <f t="shared" si="1"/>
        <v>0.56349016370658522</v>
      </c>
      <c r="J20" s="21">
        <f t="shared" si="2"/>
        <v>0.55747878826060127</v>
      </c>
      <c r="K20" s="21">
        <f t="shared" si="3"/>
        <v>1.291743377021432E-2</v>
      </c>
      <c r="L20" s="21">
        <f t="shared" si="4"/>
        <v>0.60772823629610784</v>
      </c>
      <c r="M20" s="17">
        <f t="shared" si="5"/>
        <v>3.1514402150388876</v>
      </c>
    </row>
    <row r="21" spans="1:13" ht="15.75" thickBot="1" x14ac:dyDescent="0.3">
      <c r="A21" s="15">
        <v>-5685903</v>
      </c>
      <c r="B21" s="15">
        <v>2132209</v>
      </c>
      <c r="C21" s="15">
        <v>12453407</v>
      </c>
      <c r="D21" s="15">
        <v>2032209</v>
      </c>
      <c r="E21" s="15">
        <v>308071</v>
      </c>
      <c r="F21" s="15">
        <v>18139310</v>
      </c>
      <c r="G21" s="15">
        <v>2642118</v>
      </c>
      <c r="H21" s="21">
        <f t="shared" si="0"/>
        <v>-0.45657409253548042</v>
      </c>
      <c r="I21" s="21">
        <f t="shared" si="1"/>
        <v>0.17121491331649244</v>
      </c>
      <c r="J21" s="21">
        <f t="shared" si="2"/>
        <v>0.16318498223016401</v>
      </c>
      <c r="K21" s="21">
        <f t="shared" si="3"/>
        <v>1.6983611835290319E-2</v>
      </c>
      <c r="L21" s="21">
        <f t="shared" si="4"/>
        <v>0.21216025461947882</v>
      </c>
      <c r="M21" s="17">
        <f t="shared" si="5"/>
        <v>0.45246067042608762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 filterMode="1"/>
  <dimension ref="A1:M21"/>
  <sheetViews>
    <sheetView showGridLines="0" workbookViewId="0">
      <selection activeCell="M11" sqref="M11"/>
    </sheetView>
  </sheetViews>
  <sheetFormatPr baseColWidth="10" defaultRowHeight="15" x14ac:dyDescent="0.25"/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6" t="s">
        <v>13</v>
      </c>
    </row>
    <row r="2" spans="1:13" ht="15.75" thickBot="1" x14ac:dyDescent="0.3">
      <c r="A2" s="15">
        <v>10239761</v>
      </c>
      <c r="B2" s="15">
        <v>7216077</v>
      </c>
      <c r="C2" s="15">
        <v>22323551</v>
      </c>
      <c r="D2" s="15">
        <v>7116077</v>
      </c>
      <c r="E2" s="15">
        <v>181379</v>
      </c>
      <c r="F2" s="15">
        <v>12083790</v>
      </c>
      <c r="G2" s="15">
        <v>7815880</v>
      </c>
      <c r="H2" s="19">
        <v>0.54247703333129693</v>
      </c>
      <c r="I2" s="19">
        <v>0.3717902616175372</v>
      </c>
      <c r="J2" s="19">
        <v>0.43003821348095983</v>
      </c>
      <c r="K2" s="19">
        <v>1.5054964692600476E-2</v>
      </c>
      <c r="L2" s="19">
        <v>0.39075286329848785</v>
      </c>
      <c r="M2" s="17">
        <f>SCore_Altman(H2,I2,J2,K2,L2)</f>
        <v>2.9900000000000255</v>
      </c>
    </row>
    <row r="3" spans="1:13" ht="15.75" thickBot="1" x14ac:dyDescent="0.3">
      <c r="A3" s="15">
        <v>-5188964</v>
      </c>
      <c r="B3" s="15">
        <v>6301456</v>
      </c>
      <c r="C3" s="15">
        <v>10585803</v>
      </c>
      <c r="D3" s="15">
        <v>6201456</v>
      </c>
      <c r="E3" s="15">
        <v>481592</v>
      </c>
      <c r="F3" s="15">
        <v>15774767</v>
      </c>
      <c r="G3" s="15">
        <v>6609908</v>
      </c>
      <c r="H3" s="19">
        <v>0</v>
      </c>
      <c r="I3" s="19">
        <v>0.5521901217052233</v>
      </c>
      <c r="J3" s="19">
        <v>0.48746984793641457</v>
      </c>
      <c r="K3" s="19">
        <v>3.048069559012654E-2</v>
      </c>
      <c r="L3" s="19">
        <v>0.59058549956800177</v>
      </c>
      <c r="M3" s="17">
        <f t="shared" ref="M3:M21" si="0">SCore_Altman(H3,I3,J3,K3,L3)</f>
        <v>2.98999999999999</v>
      </c>
    </row>
    <row r="4" spans="1:13" ht="15.75" hidden="1" thickBot="1" x14ac:dyDescent="0.3">
      <c r="A4" s="15">
        <v>7110072</v>
      </c>
      <c r="B4" s="15">
        <v>11769506</v>
      </c>
      <c r="C4" s="15">
        <v>21392423</v>
      </c>
      <c r="D4" s="15">
        <v>11669506</v>
      </c>
      <c r="E4" s="15">
        <v>432266</v>
      </c>
      <c r="F4" s="15">
        <v>14282351</v>
      </c>
      <c r="G4" s="15">
        <v>12373901</v>
      </c>
      <c r="H4" s="19">
        <f t="shared" ref="H4:H20" si="1">ratio(A4,C4)</f>
        <v>0.33236403375157642</v>
      </c>
      <c r="I4" s="19">
        <f t="shared" ref="I4:I20" si="2">ratio(B4,C4)</f>
        <v>0.55017171266667642</v>
      </c>
      <c r="J4" s="19">
        <f t="shared" ref="J4:J20" si="3">ratio(D4,C4)</f>
        <v>0.54549716037309093</v>
      </c>
      <c r="K4" s="19">
        <f t="shared" ref="K4:K20" si="4">ratio(E4,F4)</f>
        <v>3.0265745464454697E-2</v>
      </c>
      <c r="L4" s="19">
        <f t="shared" ref="L4:L20" si="5">ratio(G4,C4)</f>
        <v>0.57842447300149213</v>
      </c>
      <c r="M4" s="17">
        <f t="shared" si="0"/>
        <v>3.5652233632736023</v>
      </c>
    </row>
    <row r="5" spans="1:13" ht="15.75" thickBot="1" x14ac:dyDescent="0.3">
      <c r="A5" s="15">
        <v>-4705002</v>
      </c>
      <c r="B5" s="15">
        <v>49854</v>
      </c>
      <c r="C5" s="15">
        <v>12760474</v>
      </c>
      <c r="D5" s="15">
        <v>-50146</v>
      </c>
      <c r="E5" s="15">
        <v>264554</v>
      </c>
      <c r="F5" s="15">
        <v>17465476</v>
      </c>
      <c r="G5" s="15">
        <v>1009722</v>
      </c>
      <c r="H5" s="19">
        <v>2.3376993676722875</v>
      </c>
      <c r="I5" s="19">
        <v>4.2131156613690098E-3</v>
      </c>
      <c r="J5" s="19">
        <v>0</v>
      </c>
      <c r="K5" s="19">
        <v>1.7119860368891699E-2</v>
      </c>
      <c r="L5" s="19">
        <v>0.16875960206885066</v>
      </c>
      <c r="M5" s="17">
        <f t="shared" si="0"/>
        <v>2.9900003618207784</v>
      </c>
    </row>
    <row r="6" spans="1:13" ht="15.75" thickBot="1" x14ac:dyDescent="0.3">
      <c r="A6" s="15">
        <v>-8007787</v>
      </c>
      <c r="B6" s="15">
        <v>2257975</v>
      </c>
      <c r="C6" s="15">
        <v>13637467</v>
      </c>
      <c r="D6" s="15">
        <v>2157975</v>
      </c>
      <c r="E6" s="15">
        <v>225825</v>
      </c>
      <c r="F6" s="15">
        <v>21645254</v>
      </c>
      <c r="G6" s="15">
        <v>3042758</v>
      </c>
      <c r="H6" s="19">
        <v>0.95153272155346291</v>
      </c>
      <c r="I6" s="19">
        <v>0.25383546683884017</v>
      </c>
      <c r="J6" s="19">
        <v>0.34826958509622086</v>
      </c>
      <c r="K6" s="19">
        <v>1.058319776213113E-2</v>
      </c>
      <c r="L6" s="19">
        <v>0.33748902010677179</v>
      </c>
      <c r="M6" s="17">
        <f t="shared" si="0"/>
        <v>2.9900000000000042</v>
      </c>
    </row>
    <row r="7" spans="1:13" ht="15.75" thickBot="1" x14ac:dyDescent="0.3">
      <c r="A7" s="15">
        <v>8443487</v>
      </c>
      <c r="B7" s="15">
        <v>7677471</v>
      </c>
      <c r="C7" s="15">
        <v>18950949</v>
      </c>
      <c r="D7" s="15">
        <v>7577471</v>
      </c>
      <c r="E7" s="15">
        <v>138883</v>
      </c>
      <c r="F7" s="15">
        <v>10507462</v>
      </c>
      <c r="G7" s="15">
        <v>8442581</v>
      </c>
      <c r="H7" s="19">
        <v>0.45636660460138601</v>
      </c>
      <c r="I7" s="19">
        <v>0.41556232360439455</v>
      </c>
      <c r="J7" s="19">
        <v>0.42381596440393621</v>
      </c>
      <c r="K7" s="19">
        <v>1.3222321340973432E-2</v>
      </c>
      <c r="L7" s="19">
        <v>0.45450412451992162</v>
      </c>
      <c r="M7" s="17">
        <f t="shared" si="0"/>
        <v>2.9900028743007905</v>
      </c>
    </row>
    <row r="8" spans="1:13" ht="15.75" hidden="1" thickBot="1" x14ac:dyDescent="0.3">
      <c r="A8" s="15">
        <v>1558033</v>
      </c>
      <c r="B8" s="15">
        <v>12929599</v>
      </c>
      <c r="C8" s="15">
        <v>17280722</v>
      </c>
      <c r="D8" s="15">
        <v>12829599</v>
      </c>
      <c r="E8" s="15">
        <v>148004</v>
      </c>
      <c r="F8" s="15">
        <v>15722689</v>
      </c>
      <c r="G8" s="15">
        <v>13402050</v>
      </c>
      <c r="H8" s="19">
        <f t="shared" si="1"/>
        <v>9.0160179649901195E-2</v>
      </c>
      <c r="I8" s="19">
        <f t="shared" si="2"/>
        <v>0.74820942087952114</v>
      </c>
      <c r="J8" s="19">
        <f t="shared" si="3"/>
        <v>0.74242262562872086</v>
      </c>
      <c r="K8" s="19">
        <f t="shared" si="4"/>
        <v>9.4134025038592316E-3</v>
      </c>
      <c r="L8" s="19">
        <f t="shared" si="5"/>
        <v>0.77554919290987956</v>
      </c>
      <c r="M8" s="17">
        <f t="shared" si="0"/>
        <v>4.3861017546052743</v>
      </c>
    </row>
    <row r="9" spans="1:13" ht="15.75" hidden="1" thickBot="1" x14ac:dyDescent="0.3">
      <c r="A9" s="15">
        <v>-1699302</v>
      </c>
      <c r="B9" s="15">
        <v>7321042</v>
      </c>
      <c r="C9" s="15">
        <v>12865033</v>
      </c>
      <c r="D9" s="15">
        <v>7221042</v>
      </c>
      <c r="E9" s="15">
        <v>214458</v>
      </c>
      <c r="F9" s="15">
        <v>14564335</v>
      </c>
      <c r="G9" s="15">
        <v>7683253</v>
      </c>
      <c r="H9" s="19">
        <f t="shared" si="1"/>
        <v>-0.13208687455368362</v>
      </c>
      <c r="I9" s="19">
        <f t="shared" si="2"/>
        <v>0.56906515513796196</v>
      </c>
      <c r="J9" s="19">
        <f t="shared" si="3"/>
        <v>0.56129214748224898</v>
      </c>
      <c r="K9" s="19">
        <f t="shared" si="4"/>
        <v>1.4724874153196833E-2</v>
      </c>
      <c r="L9" s="19">
        <f t="shared" si="5"/>
        <v>0.59721984389779648</v>
      </c>
      <c r="M9" s="17">
        <f t="shared" si="0"/>
        <v>3.0959086029659644</v>
      </c>
    </row>
    <row r="10" spans="1:13" ht="15.75" hidden="1" thickBot="1" x14ac:dyDescent="0.3">
      <c r="A10" s="15">
        <v>-5958196</v>
      </c>
      <c r="B10" s="15">
        <v>14219713</v>
      </c>
      <c r="C10" s="15">
        <v>16739427</v>
      </c>
      <c r="D10" s="15">
        <v>14119713</v>
      </c>
      <c r="E10" s="15">
        <v>388391</v>
      </c>
      <c r="F10" s="15">
        <v>22697623</v>
      </c>
      <c r="G10" s="15">
        <v>14444580</v>
      </c>
      <c r="H10" s="19">
        <f t="shared" si="1"/>
        <v>-0.35593787051372788</v>
      </c>
      <c r="I10" s="19">
        <f t="shared" si="2"/>
        <v>0.84947429801509933</v>
      </c>
      <c r="J10" s="19">
        <f t="shared" si="3"/>
        <v>0.84350037788031818</v>
      </c>
      <c r="K10" s="19">
        <f t="shared" si="4"/>
        <v>1.7111527493429597E-2</v>
      </c>
      <c r="L10" s="19">
        <f t="shared" si="5"/>
        <v>0.86290767300457771</v>
      </c>
      <c r="M10" s="17">
        <f t="shared" si="0"/>
        <v>4.4180015014373462</v>
      </c>
    </row>
    <row r="11" spans="1:13" ht="15.75" thickBot="1" x14ac:dyDescent="0.3">
      <c r="A11" s="15">
        <v>-10450267</v>
      </c>
      <c r="B11" s="15">
        <v>7723385</v>
      </c>
      <c r="C11" s="15">
        <v>14483512</v>
      </c>
      <c r="D11" s="15">
        <v>7623385</v>
      </c>
      <c r="E11" s="15">
        <v>363396</v>
      </c>
      <c r="F11" s="15">
        <v>24933779</v>
      </c>
      <c r="G11" s="15">
        <v>8287099</v>
      </c>
      <c r="H11" s="19">
        <v>0</v>
      </c>
      <c r="I11" s="19">
        <v>0.52571692481035881</v>
      </c>
      <c r="J11" s="19">
        <v>0.50904122436912846</v>
      </c>
      <c r="K11" s="19">
        <v>1.4572032582436327E-2</v>
      </c>
      <c r="L11" s="19">
        <v>0.56598302832625869</v>
      </c>
      <c r="M11" s="17">
        <f t="shared" si="0"/>
        <v>2.9900000000000202</v>
      </c>
    </row>
    <row r="12" spans="1:13" ht="15.75" hidden="1" thickBot="1" x14ac:dyDescent="0.3">
      <c r="A12" s="15">
        <v>3102730</v>
      </c>
      <c r="B12" s="15">
        <v>13433304</v>
      </c>
      <c r="C12" s="15">
        <v>25517865</v>
      </c>
      <c r="D12" s="15">
        <v>13333304</v>
      </c>
      <c r="E12" s="15">
        <v>249202</v>
      </c>
      <c r="F12" s="15">
        <v>22415135</v>
      </c>
      <c r="G12" s="15">
        <v>14094108</v>
      </c>
      <c r="H12" s="19">
        <f t="shared" si="1"/>
        <v>0.12159050139970566</v>
      </c>
      <c r="I12" s="19">
        <f t="shared" si="2"/>
        <v>0.52642742643242291</v>
      </c>
      <c r="J12" s="19">
        <f t="shared" si="3"/>
        <v>0.52250860328636428</v>
      </c>
      <c r="K12" s="19">
        <f t="shared" si="4"/>
        <v>1.1117577476111565E-2</v>
      </c>
      <c r="L12" s="19">
        <f t="shared" si="5"/>
        <v>0.55232316653450431</v>
      </c>
      <c r="M12" s="17">
        <f t="shared" si="0"/>
        <v>3.1656267793836781</v>
      </c>
    </row>
    <row r="13" spans="1:13" ht="15.75" hidden="1" thickBot="1" x14ac:dyDescent="0.3">
      <c r="A13" s="15">
        <v>-9515416</v>
      </c>
      <c r="B13" s="15">
        <v>13245123</v>
      </c>
      <c r="C13" s="15">
        <v>13415355</v>
      </c>
      <c r="D13" s="15">
        <v>13145123</v>
      </c>
      <c r="E13" s="15">
        <v>363508</v>
      </c>
      <c r="F13" s="15">
        <v>22930771</v>
      </c>
      <c r="G13" s="15">
        <v>13602386</v>
      </c>
      <c r="H13" s="19">
        <f t="shared" si="1"/>
        <v>-0.70929289608810198</v>
      </c>
      <c r="I13" s="19">
        <f t="shared" si="2"/>
        <v>0.98731066006080348</v>
      </c>
      <c r="J13" s="19">
        <f t="shared" si="3"/>
        <v>0.97985651516489869</v>
      </c>
      <c r="K13" s="19">
        <f t="shared" si="4"/>
        <v>1.5852410719203468E-2</v>
      </c>
      <c r="L13" s="19">
        <f t="shared" si="5"/>
        <v>1.0139415617402596</v>
      </c>
      <c r="M13" s="17">
        <f t="shared" si="0"/>
        <v>4.7870490154336096</v>
      </c>
    </row>
    <row r="14" spans="1:13" ht="15.75" thickBot="1" x14ac:dyDescent="0.3">
      <c r="A14" s="15">
        <v>9684313</v>
      </c>
      <c r="B14" s="15">
        <v>4759231</v>
      </c>
      <c r="C14" s="15">
        <v>22248542</v>
      </c>
      <c r="D14" s="15">
        <v>4659231</v>
      </c>
      <c r="E14" s="15">
        <v>344243</v>
      </c>
      <c r="F14" s="15">
        <v>12564229</v>
      </c>
      <c r="G14" s="15">
        <v>5569819</v>
      </c>
      <c r="H14" s="19">
        <v>0.74010823943844484</v>
      </c>
      <c r="I14" s="19">
        <v>0.29980152326821685</v>
      </c>
      <c r="J14" s="19">
        <v>0.40345268884446822</v>
      </c>
      <c r="K14" s="19">
        <v>2.8002537844158227E-2</v>
      </c>
      <c r="L14" s="19">
        <v>0.33428865228000859</v>
      </c>
      <c r="M14" s="17">
        <f t="shared" si="0"/>
        <v>2.9900017794226059</v>
      </c>
    </row>
    <row r="15" spans="1:13" ht="15.75" thickBot="1" x14ac:dyDescent="0.3">
      <c r="A15" s="15">
        <v>9067748</v>
      </c>
      <c r="B15" s="15">
        <v>6505027</v>
      </c>
      <c r="C15" s="15">
        <v>22729020</v>
      </c>
      <c r="D15" s="15">
        <v>6405027</v>
      </c>
      <c r="E15" s="15">
        <v>201039</v>
      </c>
      <c r="F15" s="15">
        <v>13661272</v>
      </c>
      <c r="G15" s="15">
        <v>7461786</v>
      </c>
      <c r="H15" s="19">
        <v>0.5172695701878387</v>
      </c>
      <c r="I15" s="19">
        <v>0.35723899840622908</v>
      </c>
      <c r="J15" s="19">
        <v>0.44414172853559059</v>
      </c>
      <c r="K15" s="19">
        <v>1.479647416488556E-2</v>
      </c>
      <c r="L15" s="19">
        <v>0.39499346896066678</v>
      </c>
      <c r="M15" s="17">
        <f t="shared" si="0"/>
        <v>2.9900021461522135</v>
      </c>
    </row>
    <row r="16" spans="1:13" ht="15.75" hidden="1" thickBot="1" x14ac:dyDescent="0.3">
      <c r="A16" s="15">
        <v>-1118680</v>
      </c>
      <c r="B16" s="15">
        <v>13207491</v>
      </c>
      <c r="C16" s="15">
        <v>20511012</v>
      </c>
      <c r="D16" s="15">
        <v>13107491</v>
      </c>
      <c r="E16" s="15">
        <v>245968</v>
      </c>
      <c r="F16" s="15">
        <v>21629692</v>
      </c>
      <c r="G16" s="15">
        <v>14167518</v>
      </c>
      <c r="H16" s="19">
        <f t="shared" si="1"/>
        <v>-5.4540458559528902E-2</v>
      </c>
      <c r="I16" s="19">
        <f t="shared" si="2"/>
        <v>0.64392195762939441</v>
      </c>
      <c r="J16" s="19">
        <f t="shared" si="3"/>
        <v>0.63904652778712234</v>
      </c>
      <c r="K16" s="19">
        <f t="shared" si="4"/>
        <v>1.1371775427962636E-2</v>
      </c>
      <c r="L16" s="19">
        <f t="shared" si="5"/>
        <v>0.69072740048126346</v>
      </c>
      <c r="M16" s="17">
        <f t="shared" si="0"/>
        <v>3.6417554704447808</v>
      </c>
    </row>
    <row r="17" spans="1:13" ht="15.75" thickBot="1" x14ac:dyDescent="0.3">
      <c r="A17" s="15">
        <v>5206084</v>
      </c>
      <c r="B17" s="15">
        <v>2402015</v>
      </c>
      <c r="C17" s="15">
        <v>21742356</v>
      </c>
      <c r="D17" s="15">
        <v>2302015</v>
      </c>
      <c r="E17" s="15">
        <v>148290</v>
      </c>
      <c r="F17" s="15">
        <v>16536272</v>
      </c>
      <c r="G17" s="15">
        <v>2694615</v>
      </c>
      <c r="H17" s="19">
        <v>0.82315488573186579</v>
      </c>
      <c r="I17" s="19">
        <v>0.255444725609551</v>
      </c>
      <c r="J17" s="19">
        <v>0.41972846126607288</v>
      </c>
      <c r="K17" s="19">
        <v>9.3769207507509358E-3</v>
      </c>
      <c r="L17" s="19">
        <v>0.25411648370816603</v>
      </c>
      <c r="M17" s="17">
        <f t="shared" si="0"/>
        <v>2.9900009205845586</v>
      </c>
    </row>
    <row r="18" spans="1:13" ht="15.75" thickBot="1" x14ac:dyDescent="0.3">
      <c r="A18" s="15">
        <v>-795227</v>
      </c>
      <c r="B18" s="15">
        <v>10817831</v>
      </c>
      <c r="C18" s="15">
        <v>22192778</v>
      </c>
      <c r="D18" s="15">
        <v>10717831</v>
      </c>
      <c r="E18" s="15">
        <v>200485</v>
      </c>
      <c r="F18" s="15">
        <v>22988005</v>
      </c>
      <c r="G18" s="15">
        <v>11319869</v>
      </c>
      <c r="H18" s="19">
        <v>0</v>
      </c>
      <c r="I18" s="19">
        <v>0.5077285805930235</v>
      </c>
      <c r="J18" s="19">
        <v>0.52986619608968721</v>
      </c>
      <c r="K18" s="19">
        <v>8.7240697603108326E-3</v>
      </c>
      <c r="L18" s="19">
        <v>0.52591576191005229</v>
      </c>
      <c r="M18" s="17">
        <f t="shared" si="0"/>
        <v>2.9900027479305291</v>
      </c>
    </row>
    <row r="19" spans="1:13" ht="15.75" thickBot="1" x14ac:dyDescent="0.3">
      <c r="A19" s="15">
        <v>9567109</v>
      </c>
      <c r="B19" s="15">
        <v>2080415</v>
      </c>
      <c r="C19" s="15">
        <v>23002305</v>
      </c>
      <c r="D19" s="15">
        <v>1980415</v>
      </c>
      <c r="E19" s="15">
        <v>199289</v>
      </c>
      <c r="F19" s="15">
        <v>13435196</v>
      </c>
      <c r="G19" s="15">
        <v>2915591</v>
      </c>
      <c r="H19" s="19">
        <v>1.5311403113211104</v>
      </c>
      <c r="I19" s="19">
        <v>0.15196798370330145</v>
      </c>
      <c r="J19" s="19">
        <v>0.21751123507237061</v>
      </c>
      <c r="K19" s="19">
        <v>1.554258858687153E-2</v>
      </c>
      <c r="L19" s="19">
        <v>0.21297784355082103</v>
      </c>
      <c r="M19" s="17">
        <f t="shared" si="0"/>
        <v>2.99000104536817</v>
      </c>
    </row>
    <row r="20" spans="1:13" ht="15.75" hidden="1" thickBot="1" x14ac:dyDescent="0.3">
      <c r="A20" s="15">
        <v>-448492</v>
      </c>
      <c r="B20" s="15">
        <v>12111962</v>
      </c>
      <c r="C20" s="15">
        <v>15153729</v>
      </c>
      <c r="D20" s="15">
        <v>12011962</v>
      </c>
      <c r="E20" s="15">
        <v>428139</v>
      </c>
      <c r="F20" s="15">
        <v>15602221</v>
      </c>
      <c r="G20" s="15">
        <v>12570944</v>
      </c>
      <c r="H20" s="19">
        <f t="shared" si="1"/>
        <v>-2.9596147588491255E-2</v>
      </c>
      <c r="I20" s="19">
        <f t="shared" si="2"/>
        <v>0.7992727070676795</v>
      </c>
      <c r="J20" s="19">
        <f t="shared" si="3"/>
        <v>0.79267367127919475</v>
      </c>
      <c r="K20" s="19">
        <f t="shared" si="4"/>
        <v>2.7440900881996223E-2</v>
      </c>
      <c r="L20" s="19">
        <f t="shared" si="5"/>
        <v>0.82956109351038287</v>
      </c>
      <c r="M20" s="17">
        <f t="shared" si="0"/>
        <v>4.5444856009559746</v>
      </c>
    </row>
    <row r="21" spans="1:13" ht="15.75" thickBot="1" x14ac:dyDescent="0.3">
      <c r="A21" s="15">
        <v>-467841</v>
      </c>
      <c r="B21" s="15">
        <v>6960226</v>
      </c>
      <c r="C21" s="15">
        <v>15805880</v>
      </c>
      <c r="D21" s="15">
        <v>6860226</v>
      </c>
      <c r="E21" s="15">
        <v>207048</v>
      </c>
      <c r="F21" s="15">
        <v>16273721</v>
      </c>
      <c r="G21" s="15">
        <v>7606049</v>
      </c>
      <c r="H21" s="19">
        <v>0</v>
      </c>
      <c r="I21" s="19">
        <v>0.48652572142456879</v>
      </c>
      <c r="J21" s="19">
        <v>0.53975220055554207</v>
      </c>
      <c r="K21" s="19">
        <v>1.2739360212995174E-2</v>
      </c>
      <c r="L21" s="19">
        <v>0.52055867071515827</v>
      </c>
      <c r="M21" s="17">
        <f t="shared" si="0"/>
        <v>2.9899999999999252</v>
      </c>
    </row>
  </sheetData>
  <autoFilter ref="A1:M21">
    <filterColumn colId="12">
      <customFilters>
        <customFilter operator="lessThan" val="1.81"/>
        <customFilter operator="lessThan" val="2.99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1"/>
  <sheetViews>
    <sheetView showGridLines="0" workbookViewId="0">
      <selection activeCell="L2" sqref="L2"/>
    </sheetView>
  </sheetViews>
  <sheetFormatPr baseColWidth="10" defaultRowHeight="15" x14ac:dyDescent="0.25"/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6" t="s">
        <v>13</v>
      </c>
    </row>
    <row r="2" spans="1:13" ht="15.75" thickBot="1" x14ac:dyDescent="0.3">
      <c r="A2" s="15">
        <v>10239761</v>
      </c>
      <c r="B2" s="15">
        <v>7216077</v>
      </c>
      <c r="C2" s="15">
        <v>22323551</v>
      </c>
      <c r="D2" s="15">
        <v>7116077</v>
      </c>
      <c r="E2" s="15">
        <v>181379</v>
      </c>
      <c r="F2" s="15">
        <v>12083790</v>
      </c>
      <c r="G2" s="15">
        <v>7815880</v>
      </c>
      <c r="H2" s="19">
        <f>ratio(A2,C2)</f>
        <v>0.45869767762306274</v>
      </c>
      <c r="I2" s="19">
        <f t="shared" ref="I2:I21" si="0">ratio(B2,C2)</f>
        <v>0.32324951348466019</v>
      </c>
      <c r="J2" s="19">
        <f>ratio(D2,C2)</f>
        <v>0.31876993942406384</v>
      </c>
      <c r="K2" s="19">
        <f>ratio(E2,F2)</f>
        <v>1.50101085834825E-2</v>
      </c>
      <c r="L2" s="19">
        <f>ratio(G2,C2)</f>
        <v>0.35011813308733902</v>
      </c>
      <c r="M2" s="17">
        <f>SCore_Altman(H2,I2,J2,K2,L2)</f>
        <v>2.4137014122299512</v>
      </c>
    </row>
    <row r="3" spans="1:13" ht="15.75" thickBot="1" x14ac:dyDescent="0.3">
      <c r="A3" s="15">
        <v>-5188964</v>
      </c>
      <c r="B3" s="15">
        <v>6301456</v>
      </c>
      <c r="C3" s="15">
        <v>10585803</v>
      </c>
      <c r="D3" s="15">
        <v>6201456</v>
      </c>
      <c r="E3" s="15">
        <v>481592</v>
      </c>
      <c r="F3" s="15">
        <v>15774767</v>
      </c>
      <c r="G3" s="15">
        <v>6609908</v>
      </c>
      <c r="H3" s="19">
        <f t="shared" ref="H3:H21" si="1">ratio(A3,C3)</f>
        <v>-0.49018142506525014</v>
      </c>
      <c r="I3" s="19">
        <f t="shared" si="0"/>
        <v>0.59527425552884372</v>
      </c>
      <c r="J3" s="19">
        <f t="shared" ref="J3:J21" si="2">ratio(D3,C3)</f>
        <v>0.58582764103960749</v>
      </c>
      <c r="K3" s="19">
        <f t="shared" ref="K3:K21" si="3">ratio(E3,F3)</f>
        <v>3.0529262333953967E-2</v>
      </c>
      <c r="L3" s="19">
        <f t="shared" ref="L3:L21" si="4">ratio(G3,C3)</f>
        <v>0.62441252685318249</v>
      </c>
      <c r="M3" s="17">
        <f t="shared" ref="M3:M21" si="5">SCore_Altman(H3,I3,J3,K3,L3)</f>
        <v>2.8205031348194876</v>
      </c>
    </row>
    <row r="4" spans="1:13" ht="15.75" thickBot="1" x14ac:dyDescent="0.3">
      <c r="A4" s="15">
        <v>7110072</v>
      </c>
      <c r="B4" s="15">
        <v>11769506</v>
      </c>
      <c r="C4" s="15">
        <v>21392423</v>
      </c>
      <c r="D4" s="15">
        <v>11669506</v>
      </c>
      <c r="E4" s="15">
        <v>432266</v>
      </c>
      <c r="F4" s="15">
        <v>14282351</v>
      </c>
      <c r="G4" s="15">
        <v>12373901</v>
      </c>
      <c r="H4" s="19">
        <f t="shared" si="1"/>
        <v>0.33236403375157642</v>
      </c>
      <c r="I4" s="19">
        <f t="shared" si="0"/>
        <v>0.55017171266667642</v>
      </c>
      <c r="J4" s="19">
        <f t="shared" si="2"/>
        <v>0.54549716037309093</v>
      </c>
      <c r="K4" s="19">
        <f t="shared" si="3"/>
        <v>3.0265745464454697E-2</v>
      </c>
      <c r="L4" s="19">
        <f t="shared" si="4"/>
        <v>0.57842447300149213</v>
      </c>
      <c r="M4" s="17">
        <f t="shared" si="5"/>
        <v>3.5652233632736023</v>
      </c>
    </row>
    <row r="5" spans="1:13" ht="15.75" thickBot="1" x14ac:dyDescent="0.3">
      <c r="A5" s="15">
        <v>-4705002</v>
      </c>
      <c r="B5" s="15">
        <v>49854</v>
      </c>
      <c r="C5" s="15">
        <v>12760474</v>
      </c>
      <c r="D5" s="15">
        <v>-50146</v>
      </c>
      <c r="E5" s="15">
        <v>264554</v>
      </c>
      <c r="F5" s="15">
        <v>17465476</v>
      </c>
      <c r="G5" s="15">
        <v>1009722</v>
      </c>
      <c r="H5" s="19">
        <f t="shared" si="1"/>
        <v>-0.36871686741417287</v>
      </c>
      <c r="I5" s="19">
        <f t="shared" si="0"/>
        <v>3.9069081603081519E-3</v>
      </c>
      <c r="J5" s="19">
        <f t="shared" si="2"/>
        <v>-3.9297913227988243E-3</v>
      </c>
      <c r="K5" s="19">
        <f t="shared" si="3"/>
        <v>1.5147253931126755E-2</v>
      </c>
      <c r="L5" s="19">
        <f t="shared" si="4"/>
        <v>7.9128878754817417E-2</v>
      </c>
      <c r="M5" s="17">
        <f t="shared" si="5"/>
        <v>-0.36182077860307349</v>
      </c>
    </row>
    <row r="6" spans="1:13" ht="15.75" thickBot="1" x14ac:dyDescent="0.3">
      <c r="A6" s="15">
        <v>-8007787</v>
      </c>
      <c r="B6" s="15">
        <v>2257975</v>
      </c>
      <c r="C6" s="15">
        <v>13637467</v>
      </c>
      <c r="D6" s="15">
        <v>2157975</v>
      </c>
      <c r="E6" s="15">
        <v>225825</v>
      </c>
      <c r="F6" s="15">
        <v>21645254</v>
      </c>
      <c r="G6" s="15">
        <v>3042758</v>
      </c>
      <c r="H6" s="19">
        <f t="shared" si="1"/>
        <v>-0.5871902018168037</v>
      </c>
      <c r="I6" s="19">
        <f t="shared" si="0"/>
        <v>0.1655714363965097</v>
      </c>
      <c r="J6" s="19">
        <f t="shared" si="2"/>
        <v>0.1582386963796136</v>
      </c>
      <c r="K6" s="19">
        <f t="shared" si="3"/>
        <v>1.0433003003799355E-2</v>
      </c>
      <c r="L6" s="19">
        <f t="shared" si="4"/>
        <v>0.22311753348330743</v>
      </c>
      <c r="M6" s="17">
        <f t="shared" si="5"/>
        <v>0.27851368457977788</v>
      </c>
    </row>
    <row r="7" spans="1:13" ht="15.75" thickBot="1" x14ac:dyDescent="0.3">
      <c r="A7" s="15">
        <v>8443487</v>
      </c>
      <c r="B7" s="15">
        <v>7677471</v>
      </c>
      <c r="C7" s="15">
        <v>18950949</v>
      </c>
      <c r="D7" s="15">
        <v>7577471</v>
      </c>
      <c r="E7" s="15">
        <v>138883</v>
      </c>
      <c r="F7" s="15">
        <v>10507462</v>
      </c>
      <c r="G7" s="15">
        <v>8442581</v>
      </c>
      <c r="H7" s="19">
        <f t="shared" si="1"/>
        <v>0.44554428382451983</v>
      </c>
      <c r="I7" s="19">
        <f t="shared" si="0"/>
        <v>0.40512330015768605</v>
      </c>
      <c r="J7" s="19">
        <f t="shared" si="2"/>
        <v>0.39984651955952177</v>
      </c>
      <c r="K7" s="19">
        <f t="shared" si="3"/>
        <v>1.3217559102283692E-2</v>
      </c>
      <c r="L7" s="19">
        <f t="shared" si="4"/>
        <v>0.44549647619230043</v>
      </c>
      <c r="M7" s="17">
        <f t="shared" si="5"/>
        <v>2.8743007905340843</v>
      </c>
    </row>
    <row r="8" spans="1:13" ht="15.75" thickBot="1" x14ac:dyDescent="0.3">
      <c r="A8" s="15">
        <v>1558033</v>
      </c>
      <c r="B8" s="15">
        <v>12929599</v>
      </c>
      <c r="C8" s="15">
        <v>17280722</v>
      </c>
      <c r="D8" s="15">
        <v>12829599</v>
      </c>
      <c r="E8" s="15">
        <v>148004</v>
      </c>
      <c r="F8" s="15">
        <v>15722689</v>
      </c>
      <c r="G8" s="15">
        <v>13402050</v>
      </c>
      <c r="H8" s="19">
        <f t="shared" si="1"/>
        <v>9.0160179649901195E-2</v>
      </c>
      <c r="I8" s="19">
        <f t="shared" si="0"/>
        <v>0.74820942087952114</v>
      </c>
      <c r="J8" s="19">
        <f t="shared" si="2"/>
        <v>0.74242262562872086</v>
      </c>
      <c r="K8" s="19">
        <f t="shared" si="3"/>
        <v>9.4134025038592316E-3</v>
      </c>
      <c r="L8" s="19">
        <f t="shared" si="4"/>
        <v>0.77554919290987956</v>
      </c>
      <c r="M8" s="17">
        <f t="shared" si="5"/>
        <v>4.3861017546052743</v>
      </c>
    </row>
    <row r="9" spans="1:13" ht="15.75" thickBot="1" x14ac:dyDescent="0.3">
      <c r="A9" s="15">
        <v>-1699302</v>
      </c>
      <c r="B9" s="15">
        <v>7321042</v>
      </c>
      <c r="C9" s="15">
        <v>12865033</v>
      </c>
      <c r="D9" s="15">
        <v>7221042</v>
      </c>
      <c r="E9" s="15">
        <v>214458</v>
      </c>
      <c r="F9" s="15">
        <v>14564335</v>
      </c>
      <c r="G9" s="15">
        <v>7683253</v>
      </c>
      <c r="H9" s="19">
        <f t="shared" si="1"/>
        <v>-0.13208687455368362</v>
      </c>
      <c r="I9" s="19">
        <f t="shared" si="0"/>
        <v>0.56906515513796196</v>
      </c>
      <c r="J9" s="19">
        <f t="shared" si="2"/>
        <v>0.56129214748224898</v>
      </c>
      <c r="K9" s="19">
        <f t="shared" si="3"/>
        <v>1.4724874153196833E-2</v>
      </c>
      <c r="L9" s="19">
        <f t="shared" si="4"/>
        <v>0.59721984389779648</v>
      </c>
      <c r="M9" s="17">
        <f t="shared" si="5"/>
        <v>3.0959086029659644</v>
      </c>
    </row>
    <row r="10" spans="1:13" ht="15.75" thickBot="1" x14ac:dyDescent="0.3">
      <c r="A10" s="15">
        <v>-5958196</v>
      </c>
      <c r="B10" s="15">
        <v>14219713</v>
      </c>
      <c r="C10" s="15">
        <v>16739427</v>
      </c>
      <c r="D10" s="15">
        <v>14119713</v>
      </c>
      <c r="E10" s="15">
        <v>388391</v>
      </c>
      <c r="F10" s="15">
        <v>22697623</v>
      </c>
      <c r="G10" s="15">
        <v>14444580</v>
      </c>
      <c r="H10" s="19">
        <f t="shared" si="1"/>
        <v>-0.35593787051372788</v>
      </c>
      <c r="I10" s="19">
        <f t="shared" si="0"/>
        <v>0.84947429801509933</v>
      </c>
      <c r="J10" s="19">
        <f t="shared" si="2"/>
        <v>0.84350037788031818</v>
      </c>
      <c r="K10" s="19">
        <f t="shared" si="3"/>
        <v>1.7111527493429597E-2</v>
      </c>
      <c r="L10" s="19">
        <f t="shared" si="4"/>
        <v>0.86290767300457771</v>
      </c>
      <c r="M10" s="17">
        <f t="shared" si="5"/>
        <v>4.4180015014373462</v>
      </c>
    </row>
    <row r="11" spans="1:13" ht="15.75" thickBot="1" x14ac:dyDescent="0.3">
      <c r="A11" s="15">
        <v>-10450267</v>
      </c>
      <c r="B11" s="15">
        <v>7723385</v>
      </c>
      <c r="C11" s="15">
        <v>14483512</v>
      </c>
      <c r="D11" s="15">
        <v>7623385</v>
      </c>
      <c r="E11" s="15">
        <v>363396</v>
      </c>
      <c r="F11" s="15">
        <v>24933779</v>
      </c>
      <c r="G11" s="15">
        <v>8287099</v>
      </c>
      <c r="H11" s="19">
        <f t="shared" si="1"/>
        <v>-0.72152852153538449</v>
      </c>
      <c r="I11" s="19">
        <f t="shared" si="0"/>
        <v>0.53325360589337722</v>
      </c>
      <c r="J11" s="19">
        <f t="shared" si="2"/>
        <v>0.52634920314907052</v>
      </c>
      <c r="K11" s="19">
        <f t="shared" si="3"/>
        <v>1.457444537388416E-2</v>
      </c>
      <c r="L11" s="19">
        <f t="shared" si="4"/>
        <v>0.57217469077941874</v>
      </c>
      <c r="M11" s="17">
        <f t="shared" si="5"/>
        <v>2.1980203761131691</v>
      </c>
    </row>
    <row r="12" spans="1:13" ht="15.75" thickBot="1" x14ac:dyDescent="0.3">
      <c r="A12" s="15">
        <v>3102730</v>
      </c>
      <c r="B12" s="15">
        <v>13433304</v>
      </c>
      <c r="C12" s="15">
        <v>25517865</v>
      </c>
      <c r="D12" s="15">
        <v>13333304</v>
      </c>
      <c r="E12" s="15">
        <v>249202</v>
      </c>
      <c r="F12" s="15">
        <v>22415135</v>
      </c>
      <c r="G12" s="15">
        <v>14094108</v>
      </c>
      <c r="H12" s="19">
        <f t="shared" si="1"/>
        <v>0.12159050139970566</v>
      </c>
      <c r="I12" s="19">
        <f t="shared" si="0"/>
        <v>0.52642742643242291</v>
      </c>
      <c r="J12" s="19">
        <f t="shared" si="2"/>
        <v>0.52250860328636428</v>
      </c>
      <c r="K12" s="19">
        <f t="shared" si="3"/>
        <v>1.1117577476111565E-2</v>
      </c>
      <c r="L12" s="19">
        <f t="shared" si="4"/>
        <v>0.55232316653450431</v>
      </c>
      <c r="M12" s="17">
        <f t="shared" si="5"/>
        <v>3.1656267793836781</v>
      </c>
    </row>
    <row r="13" spans="1:13" ht="15.75" thickBot="1" x14ac:dyDescent="0.3">
      <c r="A13" s="15">
        <v>-9515416</v>
      </c>
      <c r="B13" s="15">
        <v>13245123</v>
      </c>
      <c r="C13" s="15">
        <v>13415355</v>
      </c>
      <c r="D13" s="15">
        <v>13145123</v>
      </c>
      <c r="E13" s="15">
        <v>363508</v>
      </c>
      <c r="F13" s="15">
        <v>22930771</v>
      </c>
      <c r="G13" s="15">
        <v>13602386</v>
      </c>
      <c r="H13" s="19">
        <f t="shared" si="1"/>
        <v>-0.70929289608810198</v>
      </c>
      <c r="I13" s="19">
        <f t="shared" si="0"/>
        <v>0.98731066006080348</v>
      </c>
      <c r="J13" s="19">
        <f t="shared" si="2"/>
        <v>0.97985651516489869</v>
      </c>
      <c r="K13" s="19">
        <f t="shared" si="3"/>
        <v>1.5852410719203468E-2</v>
      </c>
      <c r="L13" s="19">
        <f t="shared" si="4"/>
        <v>1.0139415617402596</v>
      </c>
      <c r="M13" s="17">
        <f t="shared" si="5"/>
        <v>4.7870490154336096</v>
      </c>
    </row>
    <row r="14" spans="1:13" ht="15.75" thickBot="1" x14ac:dyDescent="0.3">
      <c r="A14" s="15">
        <v>9684313</v>
      </c>
      <c r="B14" s="15">
        <v>4759231</v>
      </c>
      <c r="C14" s="15">
        <v>22248542</v>
      </c>
      <c r="D14" s="15">
        <v>4659231</v>
      </c>
      <c r="E14" s="15">
        <v>344243</v>
      </c>
      <c r="F14" s="15">
        <v>12564229</v>
      </c>
      <c r="G14" s="15">
        <v>5569819</v>
      </c>
      <c r="H14" s="19">
        <f t="shared" si="1"/>
        <v>0.43527854544356209</v>
      </c>
      <c r="I14" s="19">
        <f t="shared" si="0"/>
        <v>0.21391203971927689</v>
      </c>
      <c r="J14" s="19">
        <f t="shared" si="2"/>
        <v>0.20941736316923598</v>
      </c>
      <c r="K14" s="19">
        <f t="shared" si="3"/>
        <v>2.7398656933107474E-2</v>
      </c>
      <c r="L14" s="19">
        <f t="shared" si="4"/>
        <v>0.25034534847272238</v>
      </c>
      <c r="M14" s="17">
        <f t="shared" si="5"/>
        <v>1.779422605881855</v>
      </c>
    </row>
    <row r="15" spans="1:13" ht="15.75" thickBot="1" x14ac:dyDescent="0.3">
      <c r="A15" s="15">
        <v>9067748</v>
      </c>
      <c r="B15" s="15">
        <v>6505027</v>
      </c>
      <c r="C15" s="15">
        <v>22729020</v>
      </c>
      <c r="D15" s="15">
        <v>6405027</v>
      </c>
      <c r="E15" s="15">
        <v>201039</v>
      </c>
      <c r="F15" s="15">
        <v>13661272</v>
      </c>
      <c r="G15" s="15">
        <v>7461786</v>
      </c>
      <c r="H15" s="19">
        <f t="shared" si="1"/>
        <v>0.39895024070549456</v>
      </c>
      <c r="I15" s="19">
        <f>ratio(B15,C15)</f>
        <v>0.2861991850066567</v>
      </c>
      <c r="J15" s="19">
        <f t="shared" si="2"/>
        <v>0.28179952325265234</v>
      </c>
      <c r="K15" s="19">
        <f t="shared" si="3"/>
        <v>1.4715979595457875E-2</v>
      </c>
      <c r="L15" s="19">
        <f t="shared" si="4"/>
        <v>0.32829334480765121</v>
      </c>
      <c r="M15" s="17">
        <f t="shared" si="5"/>
        <v>2.1461522138097839</v>
      </c>
    </row>
    <row r="16" spans="1:13" ht="15.75" thickBot="1" x14ac:dyDescent="0.3">
      <c r="A16" s="15">
        <v>-1118680</v>
      </c>
      <c r="B16" s="15">
        <v>13207491</v>
      </c>
      <c r="C16" s="15">
        <v>20511012</v>
      </c>
      <c r="D16" s="15">
        <v>13107491</v>
      </c>
      <c r="E16" s="15">
        <v>245968</v>
      </c>
      <c r="F16" s="15">
        <v>21629692</v>
      </c>
      <c r="G16" s="15">
        <v>14167518</v>
      </c>
      <c r="H16" s="19">
        <f t="shared" si="1"/>
        <v>-5.4540458559528902E-2</v>
      </c>
      <c r="I16" s="19">
        <f t="shared" si="0"/>
        <v>0.64392195762939441</v>
      </c>
      <c r="J16" s="19">
        <f t="shared" si="2"/>
        <v>0.63904652778712234</v>
      </c>
      <c r="K16" s="19">
        <f t="shared" si="3"/>
        <v>1.1371775427962636E-2</v>
      </c>
      <c r="L16" s="19">
        <f t="shared" si="4"/>
        <v>0.69072740048126346</v>
      </c>
      <c r="M16" s="17">
        <f t="shared" si="5"/>
        <v>3.6417554704447808</v>
      </c>
    </row>
    <row r="17" spans="1:13" ht="15.75" thickBot="1" x14ac:dyDescent="0.3">
      <c r="A17" s="15">
        <v>5206084</v>
      </c>
      <c r="B17" s="15">
        <v>2402015</v>
      </c>
      <c r="C17" s="15">
        <v>21742356</v>
      </c>
      <c r="D17" s="15">
        <v>2302015</v>
      </c>
      <c r="E17" s="15">
        <v>148290</v>
      </c>
      <c r="F17" s="15">
        <v>16536272</v>
      </c>
      <c r="G17" s="15">
        <v>2694615</v>
      </c>
      <c r="H17" s="19">
        <f t="shared" si="1"/>
        <v>0.23944433620717093</v>
      </c>
      <c r="I17" s="19">
        <f t="shared" si="0"/>
        <v>0.11047629796881257</v>
      </c>
      <c r="J17" s="19">
        <f t="shared" si="2"/>
        <v>0.10587698039715659</v>
      </c>
      <c r="K17" s="19">
        <f t="shared" si="3"/>
        <v>8.9675593144573334E-3</v>
      </c>
      <c r="L17" s="19">
        <f t="shared" si="4"/>
        <v>0.123933901183478</v>
      </c>
      <c r="M17" s="17">
        <f t="shared" si="5"/>
        <v>0.92058455878652834</v>
      </c>
    </row>
    <row r="18" spans="1:13" ht="15.75" thickBot="1" x14ac:dyDescent="0.3">
      <c r="A18" s="15">
        <v>-795227</v>
      </c>
      <c r="B18" s="15">
        <v>10817831</v>
      </c>
      <c r="C18" s="15">
        <v>22192778</v>
      </c>
      <c r="D18" s="15">
        <v>10717831</v>
      </c>
      <c r="E18" s="15">
        <v>200485</v>
      </c>
      <c r="F18" s="15">
        <v>22988005</v>
      </c>
      <c r="G18" s="15">
        <v>11319869</v>
      </c>
      <c r="H18" s="19">
        <f t="shared" si="1"/>
        <v>-3.5832692959844863E-2</v>
      </c>
      <c r="I18" s="19">
        <f t="shared" si="0"/>
        <v>0.48744825906878353</v>
      </c>
      <c r="J18" s="19">
        <f t="shared" si="2"/>
        <v>0.48294228870310874</v>
      </c>
      <c r="K18" s="19">
        <f t="shared" si="3"/>
        <v>8.7212874714443465E-3</v>
      </c>
      <c r="L18" s="19">
        <f t="shared" si="4"/>
        <v>0.51006994257321003</v>
      </c>
      <c r="M18" s="17">
        <f t="shared" si="5"/>
        <v>2.747930528978245</v>
      </c>
    </row>
    <row r="19" spans="1:13" ht="15.75" thickBot="1" x14ac:dyDescent="0.3">
      <c r="A19" s="15">
        <v>9567109</v>
      </c>
      <c r="B19" s="15">
        <v>2080415</v>
      </c>
      <c r="C19" s="15">
        <v>23002305</v>
      </c>
      <c r="D19" s="15">
        <v>1980415</v>
      </c>
      <c r="E19" s="15">
        <v>199289</v>
      </c>
      <c r="F19" s="15">
        <v>13435196</v>
      </c>
      <c r="G19" s="15">
        <v>2915591</v>
      </c>
      <c r="H19" s="19">
        <f t="shared" si="1"/>
        <v>0.41591957849441608</v>
      </c>
      <c r="I19" s="19">
        <f t="shared" si="0"/>
        <v>9.0443762049064208E-2</v>
      </c>
      <c r="J19" s="19">
        <f t="shared" si="2"/>
        <v>8.609637164623285E-2</v>
      </c>
      <c r="K19" s="19">
        <f t="shared" si="3"/>
        <v>1.4833352635867761E-2</v>
      </c>
      <c r="L19" s="19">
        <f t="shared" si="4"/>
        <v>0.12675212331981511</v>
      </c>
      <c r="M19" s="17">
        <f t="shared" si="5"/>
        <v>1.0453681702725737</v>
      </c>
    </row>
    <row r="20" spans="1:13" ht="15.75" thickBot="1" x14ac:dyDescent="0.3">
      <c r="A20" s="15">
        <v>-448492</v>
      </c>
      <c r="B20" s="15">
        <v>12111962</v>
      </c>
      <c r="C20" s="15">
        <v>15153729</v>
      </c>
      <c r="D20" s="15">
        <v>12011962</v>
      </c>
      <c r="E20" s="15">
        <v>428139</v>
      </c>
      <c r="F20" s="15">
        <v>15602221</v>
      </c>
      <c r="G20" s="15">
        <v>12570944</v>
      </c>
      <c r="H20" s="19">
        <f t="shared" si="1"/>
        <v>-2.9596147588491255E-2</v>
      </c>
      <c r="I20" s="19">
        <f t="shared" si="0"/>
        <v>0.7992727070676795</v>
      </c>
      <c r="J20" s="19">
        <f t="shared" si="2"/>
        <v>0.79267367127919475</v>
      </c>
      <c r="K20" s="19">
        <f t="shared" si="3"/>
        <v>2.7440900881996223E-2</v>
      </c>
      <c r="L20" s="19">
        <f t="shared" si="4"/>
        <v>0.82956109351038287</v>
      </c>
      <c r="M20" s="17">
        <f t="shared" si="5"/>
        <v>4.5444856009559746</v>
      </c>
    </row>
    <row r="21" spans="1:13" ht="15.75" thickBot="1" x14ac:dyDescent="0.3">
      <c r="A21" s="15">
        <v>-467841</v>
      </c>
      <c r="B21" s="15">
        <v>6960226</v>
      </c>
      <c r="C21" s="15">
        <v>15805880</v>
      </c>
      <c r="D21" s="15">
        <v>6860226</v>
      </c>
      <c r="E21" s="15">
        <v>207048</v>
      </c>
      <c r="F21" s="15">
        <v>16273721</v>
      </c>
      <c r="G21" s="15">
        <v>7606049</v>
      </c>
      <c r="H21" s="19">
        <f t="shared" si="1"/>
        <v>-2.9599174484432375E-2</v>
      </c>
      <c r="I21" s="19">
        <f t="shared" si="0"/>
        <v>0.44035675330952784</v>
      </c>
      <c r="J21" s="19">
        <f t="shared" si="2"/>
        <v>0.43402999390100394</v>
      </c>
      <c r="K21" s="19">
        <f t="shared" si="3"/>
        <v>1.2722843165370723E-2</v>
      </c>
      <c r="L21" s="19">
        <f t="shared" si="4"/>
        <v>0.48121642072443926</v>
      </c>
      <c r="M21" s="17">
        <f t="shared" si="5"/>
        <v>2.5016483353282704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 filterMode="1"/>
  <dimension ref="A1:M21"/>
  <sheetViews>
    <sheetView showGridLines="0" workbookViewId="0">
      <selection activeCell="M20" sqref="M20"/>
    </sheetView>
  </sheetViews>
  <sheetFormatPr baseColWidth="10" defaultRowHeight="15" x14ac:dyDescent="0.25"/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6" t="s">
        <v>14</v>
      </c>
    </row>
    <row r="2" spans="1:13" ht="15.75" thickBot="1" x14ac:dyDescent="0.3">
      <c r="A2" s="15">
        <v>-4071868</v>
      </c>
      <c r="B2" s="15">
        <v>8971976</v>
      </c>
      <c r="C2" s="15">
        <v>15701038</v>
      </c>
      <c r="D2" s="15">
        <v>8871976</v>
      </c>
      <c r="E2" s="15">
        <v>203124</v>
      </c>
      <c r="F2" s="15">
        <v>19772906</v>
      </c>
      <c r="G2" s="15">
        <v>9253255</v>
      </c>
      <c r="H2" s="19">
        <v>0</v>
      </c>
      <c r="I2" s="19">
        <v>0.54381562758526136</v>
      </c>
      <c r="J2" s="19">
        <v>0.50141854000785679</v>
      </c>
      <c r="K2" s="19">
        <v>1.0269020772476427E-2</v>
      </c>
      <c r="L2" s="19">
        <v>0.56838391080202844</v>
      </c>
      <c r="M2" s="17">
        <f>SCore_Altman(H2,I2,J2,K2,L2)</f>
        <v>2.9900000000000055</v>
      </c>
    </row>
    <row r="3" spans="1:13" ht="15.75" thickBot="1" x14ac:dyDescent="0.3">
      <c r="A3" s="15">
        <v>792206</v>
      </c>
      <c r="B3" s="15">
        <v>10563750</v>
      </c>
      <c r="C3" s="15">
        <v>22159962</v>
      </c>
      <c r="D3" s="15">
        <v>10463750</v>
      </c>
      <c r="E3" s="15">
        <v>208170</v>
      </c>
      <c r="F3" s="15">
        <v>21367756</v>
      </c>
      <c r="G3" s="15">
        <v>10921264</v>
      </c>
      <c r="H3" s="19">
        <v>3.5859267757698682E-2</v>
      </c>
      <c r="I3" s="19">
        <v>0.49948992704955558</v>
      </c>
      <c r="J3" s="19">
        <v>0.5248885450801386</v>
      </c>
      <c r="K3" s="19">
        <v>9.7463275531555534E-3</v>
      </c>
      <c r="L3" s="19">
        <v>0.51021596820139314</v>
      </c>
      <c r="M3" s="17">
        <f t="shared" ref="M3:M21" si="0">SCore_Altman(H3,I3,J3,K3,L3)</f>
        <v>2.9900027667081583</v>
      </c>
    </row>
    <row r="4" spans="1:13" ht="15.75" thickBot="1" x14ac:dyDescent="0.3">
      <c r="A4" s="15">
        <v>5640419</v>
      </c>
      <c r="B4" s="15">
        <v>5228828</v>
      </c>
      <c r="C4" s="15">
        <v>25743034</v>
      </c>
      <c r="D4" s="15">
        <v>5128828</v>
      </c>
      <c r="E4" s="15">
        <v>306697</v>
      </c>
      <c r="F4" s="15">
        <v>20102615</v>
      </c>
      <c r="G4" s="15">
        <v>6114153</v>
      </c>
      <c r="H4" s="19">
        <v>0.35791522342911453</v>
      </c>
      <c r="I4" s="19">
        <v>0.3422893047787206</v>
      </c>
      <c r="J4" s="19">
        <v>0.51485471521195325</v>
      </c>
      <c r="K4" s="19">
        <v>1.5593086340509436E-2</v>
      </c>
      <c r="L4" s="19">
        <v>0.37329358677784913</v>
      </c>
      <c r="M4" s="17">
        <f t="shared" si="0"/>
        <v>2.9899999999999687</v>
      </c>
    </row>
    <row r="5" spans="1:13" ht="15.75" thickBot="1" x14ac:dyDescent="0.3">
      <c r="A5" s="15">
        <v>4210530</v>
      </c>
      <c r="B5" s="15">
        <v>8992874</v>
      </c>
      <c r="C5" s="15">
        <v>19122529</v>
      </c>
      <c r="D5" s="15">
        <v>8892874</v>
      </c>
      <c r="E5" s="15">
        <v>255600</v>
      </c>
      <c r="F5" s="15">
        <v>14911999</v>
      </c>
      <c r="G5" s="15">
        <v>9287741</v>
      </c>
      <c r="H5" s="19">
        <v>0.22088716825414592</v>
      </c>
      <c r="I5" s="19">
        <v>0.47400328901208066</v>
      </c>
      <c r="J5" s="19">
        <v>0.47363749648657499</v>
      </c>
      <c r="K5" s="19">
        <v>1.7142680935488614E-2</v>
      </c>
      <c r="L5" s="19">
        <v>0.48853293220441513</v>
      </c>
      <c r="M5" s="17">
        <f t="shared" si="0"/>
        <v>2.9900029527610892</v>
      </c>
    </row>
    <row r="6" spans="1:13" ht="15.75" hidden="1" thickBot="1" x14ac:dyDescent="0.3">
      <c r="A6" s="15">
        <v>2887233</v>
      </c>
      <c r="B6" s="15">
        <v>13147117</v>
      </c>
      <c r="C6" s="15">
        <v>21448394</v>
      </c>
      <c r="D6" s="15">
        <v>13047117</v>
      </c>
      <c r="E6" s="15">
        <v>196255</v>
      </c>
      <c r="F6" s="15">
        <v>18561161</v>
      </c>
      <c r="G6" s="15">
        <v>13543145</v>
      </c>
      <c r="H6" s="19">
        <f t="shared" ref="H6:H21" si="1">ratio(A6,C6)</f>
        <v>0.13461301578104171</v>
      </c>
      <c r="I6" s="19">
        <f t="shared" ref="I6:I21" si="2">ratio(B6,C6)</f>
        <v>0.61296510125653225</v>
      </c>
      <c r="J6" s="19">
        <f t="shared" ref="J6:J21" si="3">ratio(D6,C6)</f>
        <v>0.60830274751573477</v>
      </c>
      <c r="K6" s="19">
        <f t="shared" ref="K6:K21" si="4">ratio(E6,F6)</f>
        <v>1.0573422643120223E-2</v>
      </c>
      <c r="L6" s="19">
        <f t="shared" ref="L6:L21" si="5">ratio(G6,C6)</f>
        <v>0.63142932752913805</v>
      </c>
      <c r="M6" s="17">
        <f t="shared" si="0"/>
        <v>3.6642277792858011</v>
      </c>
    </row>
    <row r="7" spans="1:13" ht="15.75" hidden="1" thickBot="1" x14ac:dyDescent="0.3">
      <c r="A7" s="15">
        <v>1685691</v>
      </c>
      <c r="B7" s="15">
        <v>12971148</v>
      </c>
      <c r="C7" s="15">
        <v>21322103</v>
      </c>
      <c r="D7" s="15">
        <v>12871148</v>
      </c>
      <c r="E7" s="15">
        <v>347600</v>
      </c>
      <c r="F7" s="15">
        <v>19636412</v>
      </c>
      <c r="G7" s="15">
        <v>13906952</v>
      </c>
      <c r="H7" s="19">
        <f t="shared" si="1"/>
        <v>7.9058383687575284E-2</v>
      </c>
      <c r="I7" s="19">
        <f t="shared" si="2"/>
        <v>0.60834280746134661</v>
      </c>
      <c r="J7" s="19">
        <f t="shared" si="3"/>
        <v>0.60365283855912333</v>
      </c>
      <c r="K7" s="19">
        <f t="shared" si="4"/>
        <v>1.7701808252953748E-2</v>
      </c>
      <c r="L7" s="19">
        <f t="shared" si="5"/>
        <v>0.65223172404710739</v>
      </c>
      <c r="M7" s="17">
        <f t="shared" si="0"/>
        <v>3.6008049353909151</v>
      </c>
    </row>
    <row r="8" spans="1:13" ht="15.75" thickBot="1" x14ac:dyDescent="0.3">
      <c r="A8" s="15">
        <v>-3225736</v>
      </c>
      <c r="B8" s="15">
        <v>4960797</v>
      </c>
      <c r="C8" s="15">
        <v>19580822</v>
      </c>
      <c r="D8" s="15">
        <v>4860797</v>
      </c>
      <c r="E8" s="15">
        <v>365350</v>
      </c>
      <c r="F8" s="15">
        <v>22806558</v>
      </c>
      <c r="G8" s="15">
        <v>5597803</v>
      </c>
      <c r="H8" s="19">
        <v>0</v>
      </c>
      <c r="I8" s="19">
        <v>0.40891152495640948</v>
      </c>
      <c r="J8" s="19">
        <v>0.60028981020052841</v>
      </c>
      <c r="K8" s="19">
        <v>1.6286068140932409E-2</v>
      </c>
      <c r="L8" s="19">
        <v>0.42722434627202532</v>
      </c>
      <c r="M8" s="17">
        <f t="shared" si="0"/>
        <v>2.9900012714110296</v>
      </c>
    </row>
    <row r="9" spans="1:13" ht="15.75" hidden="1" thickBot="1" x14ac:dyDescent="0.3">
      <c r="A9" s="15">
        <v>3125064</v>
      </c>
      <c r="B9" s="15">
        <v>14107331</v>
      </c>
      <c r="C9" s="15">
        <v>20552628</v>
      </c>
      <c r="D9" s="15">
        <v>14007331</v>
      </c>
      <c r="E9" s="15">
        <v>296064</v>
      </c>
      <c r="F9" s="15">
        <v>17427564</v>
      </c>
      <c r="G9" s="15">
        <v>14593538</v>
      </c>
      <c r="H9" s="19">
        <f t="shared" si="1"/>
        <v>0.1520517960038979</v>
      </c>
      <c r="I9" s="19">
        <f t="shared" si="2"/>
        <v>0.6864003474397532</v>
      </c>
      <c r="J9" s="19">
        <f t="shared" si="3"/>
        <v>0.68153478961425273</v>
      </c>
      <c r="K9" s="19">
        <f t="shared" si="4"/>
        <v>1.6988260665690282E-2</v>
      </c>
      <c r="L9" s="19">
        <f t="shared" si="5"/>
        <v>0.71005703017638422</v>
      </c>
      <c r="M9" s="17">
        <f t="shared" si="0"/>
        <v>4.1120273768929874</v>
      </c>
    </row>
    <row r="10" spans="1:13" ht="15.75" thickBot="1" x14ac:dyDescent="0.3">
      <c r="A10" s="15">
        <v>4819843</v>
      </c>
      <c r="B10" s="15">
        <v>6813112</v>
      </c>
      <c r="C10" s="15">
        <v>23154062</v>
      </c>
      <c r="D10" s="15">
        <v>6713112</v>
      </c>
      <c r="E10" s="15">
        <v>266841</v>
      </c>
      <c r="F10" s="15">
        <v>18334219</v>
      </c>
      <c r="G10" s="15">
        <v>7410181</v>
      </c>
      <c r="H10" s="19">
        <v>0.25155907984804626</v>
      </c>
      <c r="I10" s="19">
        <v>0.39541204794440632</v>
      </c>
      <c r="J10" s="19">
        <v>0.52143440891787751</v>
      </c>
      <c r="K10" s="19">
        <v>1.4660327225513074E-2</v>
      </c>
      <c r="L10" s="19">
        <v>0.40542986814001003</v>
      </c>
      <c r="M10" s="17">
        <f t="shared" si="0"/>
        <v>2.9900019469759975</v>
      </c>
    </row>
    <row r="11" spans="1:13" ht="15.75" thickBot="1" x14ac:dyDescent="0.3">
      <c r="A11" s="15">
        <v>1524804</v>
      </c>
      <c r="B11" s="15">
        <v>5173541</v>
      </c>
      <c r="C11" s="15">
        <v>17658795</v>
      </c>
      <c r="D11" s="15">
        <v>5073541</v>
      </c>
      <c r="E11" s="15">
        <v>449026</v>
      </c>
      <c r="F11" s="15">
        <v>16133991</v>
      </c>
      <c r="G11" s="15">
        <v>5878212</v>
      </c>
      <c r="H11" s="19">
        <v>9.5220730917027416E-2</v>
      </c>
      <c r="I11" s="19">
        <v>0.41213653658818955</v>
      </c>
      <c r="J11" s="19">
        <v>0.55744263372745662</v>
      </c>
      <c r="K11" s="19">
        <v>2.8291921044688625E-2</v>
      </c>
      <c r="L11" s="19">
        <v>0.44265077852713802</v>
      </c>
      <c r="M11" s="17">
        <f t="shared" si="0"/>
        <v>2.9899999999999292</v>
      </c>
    </row>
    <row r="12" spans="1:13" ht="15.75" thickBot="1" x14ac:dyDescent="0.3">
      <c r="A12" s="15">
        <v>-1946723</v>
      </c>
      <c r="B12" s="15">
        <v>6728620</v>
      </c>
      <c r="C12" s="15">
        <v>15406364</v>
      </c>
      <c r="D12" s="15">
        <v>6628620</v>
      </c>
      <c r="E12" s="15">
        <v>228340</v>
      </c>
      <c r="F12" s="15">
        <v>17353087</v>
      </c>
      <c r="G12" s="15">
        <v>6896293</v>
      </c>
      <c r="H12" s="19">
        <v>0</v>
      </c>
      <c r="I12" s="19">
        <v>0.48867621213774021</v>
      </c>
      <c r="J12" s="19">
        <v>0.54905474581380276</v>
      </c>
      <c r="K12" s="19">
        <v>1.317866926485463E-2</v>
      </c>
      <c r="L12" s="19">
        <v>0.48655432930755743</v>
      </c>
      <c r="M12" s="17">
        <f t="shared" si="0"/>
        <v>2.9900023347155478</v>
      </c>
    </row>
    <row r="13" spans="1:13" ht="15.75" thickBot="1" x14ac:dyDescent="0.3">
      <c r="A13" s="15">
        <v>1153126</v>
      </c>
      <c r="B13" s="15">
        <v>3656309</v>
      </c>
      <c r="C13" s="15">
        <v>22435472</v>
      </c>
      <c r="D13" s="15">
        <v>3556309</v>
      </c>
      <c r="E13" s="15">
        <v>370975</v>
      </c>
      <c r="F13" s="15">
        <v>21282346</v>
      </c>
      <c r="G13" s="15">
        <v>4634339</v>
      </c>
      <c r="H13" s="19">
        <v>6.809400502575072E-2</v>
      </c>
      <c r="I13" s="19">
        <v>0.3588120657747641</v>
      </c>
      <c r="J13" s="19">
        <v>0.59523479728373108</v>
      </c>
      <c r="K13" s="19">
        <v>1.8391319345247084E-2</v>
      </c>
      <c r="L13" s="19">
        <v>0.43107175099200323</v>
      </c>
      <c r="M13" s="17">
        <f t="shared" si="0"/>
        <v>2.9900000000000428</v>
      </c>
    </row>
    <row r="14" spans="1:13" ht="15.75" hidden="1" thickBot="1" x14ac:dyDescent="0.3">
      <c r="A14" s="15">
        <v>-2832271</v>
      </c>
      <c r="B14" s="15">
        <v>9000832</v>
      </c>
      <c r="C14" s="15">
        <v>11683026</v>
      </c>
      <c r="D14" s="15">
        <v>8900832</v>
      </c>
      <c r="E14" s="15">
        <v>107927</v>
      </c>
      <c r="F14" s="15">
        <v>14515297</v>
      </c>
      <c r="G14" s="15">
        <v>9464077</v>
      </c>
      <c r="H14" s="19">
        <f t="shared" si="1"/>
        <v>-0.24242614884191818</v>
      </c>
      <c r="I14" s="19">
        <f t="shared" si="2"/>
        <v>0.77041958136530719</v>
      </c>
      <c r="J14" s="19">
        <f t="shared" si="3"/>
        <v>0.76186015506599059</v>
      </c>
      <c r="K14" s="19">
        <f t="shared" si="4"/>
        <v>7.435397291560758E-3</v>
      </c>
      <c r="L14" s="19">
        <f t="shared" si="5"/>
        <v>0.81007069572557655</v>
      </c>
      <c r="M14" s="17">
        <f t="shared" si="0"/>
        <v>4.115536410423684</v>
      </c>
    </row>
    <row r="15" spans="1:13" ht="15.75" thickBot="1" x14ac:dyDescent="0.3">
      <c r="A15" s="15">
        <v>2101397</v>
      </c>
      <c r="B15" s="15">
        <v>8502703</v>
      </c>
      <c r="C15" s="15">
        <v>20815120</v>
      </c>
      <c r="D15" s="15">
        <v>8402703</v>
      </c>
      <c r="E15" s="15">
        <v>309383</v>
      </c>
      <c r="F15" s="15">
        <v>18713723</v>
      </c>
      <c r="G15" s="15">
        <v>9212010</v>
      </c>
      <c r="H15" s="19">
        <v>0.10366799256757132</v>
      </c>
      <c r="I15" s="19">
        <v>0.4603003353009037</v>
      </c>
      <c r="J15" s="19">
        <v>0.52295854412878484</v>
      </c>
      <c r="K15" s="19">
        <v>1.6568786400693907E-2</v>
      </c>
      <c r="L15" s="19">
        <v>0.4859619111644371</v>
      </c>
      <c r="M15" s="17">
        <f t="shared" si="0"/>
        <v>2.9900024772210294</v>
      </c>
    </row>
    <row r="16" spans="1:13" ht="15.75" hidden="1" thickBot="1" x14ac:dyDescent="0.3">
      <c r="A16" s="15">
        <v>-1287452</v>
      </c>
      <c r="B16" s="15">
        <v>10478281</v>
      </c>
      <c r="C16" s="15">
        <v>17824456</v>
      </c>
      <c r="D16" s="15">
        <v>10378281</v>
      </c>
      <c r="E16" s="15">
        <v>392505</v>
      </c>
      <c r="F16" s="15">
        <v>19111908</v>
      </c>
      <c r="G16" s="15">
        <v>10742805</v>
      </c>
      <c r="H16" s="19">
        <f t="shared" si="1"/>
        <v>-7.2229525546249493E-2</v>
      </c>
      <c r="I16" s="19">
        <f t="shared" si="2"/>
        <v>0.58785979218664508</v>
      </c>
      <c r="J16" s="19">
        <f t="shared" si="3"/>
        <v>0.58224952279048514</v>
      </c>
      <c r="K16" s="19">
        <f t="shared" si="4"/>
        <v>2.0537195972270272E-2</v>
      </c>
      <c r="L16" s="19">
        <f t="shared" si="5"/>
        <v>0.60270030120414331</v>
      </c>
      <c r="M16" s="17">
        <f t="shared" si="0"/>
        <v>3.2721716221007053</v>
      </c>
    </row>
    <row r="17" spans="1:13" ht="15.75" thickBot="1" x14ac:dyDescent="0.3">
      <c r="A17" s="15">
        <v>-12405719</v>
      </c>
      <c r="B17" s="15">
        <v>749472</v>
      </c>
      <c r="C17" s="15">
        <v>11625342</v>
      </c>
      <c r="D17" s="15">
        <v>649472</v>
      </c>
      <c r="E17" s="15">
        <v>485882</v>
      </c>
      <c r="F17" s="15">
        <v>24031061</v>
      </c>
      <c r="G17" s="15">
        <v>1704025</v>
      </c>
      <c r="H17" s="19">
        <v>2.0509808586309046</v>
      </c>
      <c r="I17" s="19">
        <v>7.3202052199753023E-2</v>
      </c>
      <c r="J17" s="19">
        <v>7.1325555687431694E-2</v>
      </c>
      <c r="K17" s="19">
        <v>2.0587057495730959E-2</v>
      </c>
      <c r="L17" s="19">
        <v>0.17879316883839641</v>
      </c>
      <c r="M17" s="17">
        <f t="shared" si="0"/>
        <v>2.990000847372261</v>
      </c>
    </row>
    <row r="18" spans="1:13" ht="15.75" hidden="1" thickBot="1" x14ac:dyDescent="0.3">
      <c r="A18" s="15">
        <v>-13437609</v>
      </c>
      <c r="B18" s="15">
        <v>13282127</v>
      </c>
      <c r="C18" s="15">
        <v>11413864</v>
      </c>
      <c r="D18" s="15">
        <v>13182127</v>
      </c>
      <c r="E18" s="15">
        <v>451232</v>
      </c>
      <c r="F18" s="15">
        <v>24851473</v>
      </c>
      <c r="G18" s="15">
        <v>14021717</v>
      </c>
      <c r="H18" s="19">
        <f t="shared" si="1"/>
        <v>-1.1773058624143411</v>
      </c>
      <c r="I18" s="19">
        <f t="shared" si="2"/>
        <v>1.163683656998191</v>
      </c>
      <c r="J18" s="19">
        <f t="shared" si="3"/>
        <v>1.1549223821135419</v>
      </c>
      <c r="K18" s="19">
        <f t="shared" si="4"/>
        <v>1.8157153099134203E-2</v>
      </c>
      <c r="L18" s="19">
        <f t="shared" si="5"/>
        <v>1.2284811699175668</v>
      </c>
      <c r="M18" s="17">
        <f t="shared" si="0"/>
        <v>5.2657809264820754</v>
      </c>
    </row>
    <row r="19" spans="1:13" ht="15.75" hidden="1" thickBot="1" x14ac:dyDescent="0.3">
      <c r="A19" s="15">
        <v>7032191</v>
      </c>
      <c r="B19" s="15">
        <v>10833928</v>
      </c>
      <c r="C19" s="15">
        <v>20761346</v>
      </c>
      <c r="D19" s="15">
        <v>10733928</v>
      </c>
      <c r="E19" s="15">
        <v>108050</v>
      </c>
      <c r="F19" s="15">
        <v>13729155</v>
      </c>
      <c r="G19" s="15">
        <v>11770412</v>
      </c>
      <c r="H19" s="19">
        <f t="shared" si="1"/>
        <v>0.33871556304682748</v>
      </c>
      <c r="I19" s="19">
        <f t="shared" si="2"/>
        <v>0.52183167700205946</v>
      </c>
      <c r="J19" s="19">
        <f t="shared" si="3"/>
        <v>0.51701503361101919</v>
      </c>
      <c r="K19" s="19">
        <f t="shared" si="4"/>
        <v>7.8701129093523958E-3</v>
      </c>
      <c r="L19" s="19">
        <f t="shared" si="5"/>
        <v>0.56693877169620888</v>
      </c>
      <c r="M19" s="17">
        <f t="shared" si="0"/>
        <v>3.4142665350455634</v>
      </c>
    </row>
    <row r="20" spans="1:13" ht="15.75" thickBot="1" x14ac:dyDescent="0.3">
      <c r="A20" s="15">
        <v>4585375</v>
      </c>
      <c r="B20" s="15">
        <v>3051865</v>
      </c>
      <c r="C20" s="15">
        <v>16049610</v>
      </c>
      <c r="D20" s="15">
        <v>2951865</v>
      </c>
      <c r="E20" s="15">
        <v>461580</v>
      </c>
      <c r="F20" s="15">
        <v>11464235</v>
      </c>
      <c r="G20" s="15">
        <v>3695361</v>
      </c>
      <c r="H20" s="19">
        <v>0.52963397661997791</v>
      </c>
      <c r="I20" s="19">
        <v>0.31621851934012907</v>
      </c>
      <c r="J20" s="19">
        <v>0.46192340126511872</v>
      </c>
      <c r="K20" s="19">
        <v>4.2684892713448053E-2</v>
      </c>
      <c r="L20" s="19">
        <v>0.36213875009358354</v>
      </c>
      <c r="M20" s="17">
        <f t="shared" si="0"/>
        <v>2.9900014701666042</v>
      </c>
    </row>
    <row r="21" spans="1:13" ht="15.75" hidden="1" thickBot="1" x14ac:dyDescent="0.3">
      <c r="A21" s="15">
        <v>-5673288</v>
      </c>
      <c r="B21" s="15">
        <v>9253962</v>
      </c>
      <c r="C21" s="15">
        <v>13532916</v>
      </c>
      <c r="D21" s="15">
        <v>9153962</v>
      </c>
      <c r="E21" s="15">
        <v>250839</v>
      </c>
      <c r="F21" s="15">
        <v>19206204</v>
      </c>
      <c r="G21" s="15">
        <v>9488747</v>
      </c>
      <c r="H21" s="19">
        <f t="shared" si="1"/>
        <v>-0.41922140062053143</v>
      </c>
      <c r="I21" s="19">
        <f t="shared" si="2"/>
        <v>0.68381138255790552</v>
      </c>
      <c r="J21" s="19">
        <f t="shared" si="3"/>
        <v>0.67642199212645671</v>
      </c>
      <c r="K21" s="19">
        <f t="shared" si="4"/>
        <v>1.3060311136963869E-2</v>
      </c>
      <c r="L21" s="19">
        <f t="shared" si="5"/>
        <v>0.70116056288238249</v>
      </c>
      <c r="M21" s="17">
        <f t="shared" si="0"/>
        <v>3.3947584178554155</v>
      </c>
    </row>
  </sheetData>
  <autoFilter ref="A1:M21">
    <filterColumn colId="12">
      <customFilters>
        <customFilter operator="lessThan" val="1.81"/>
        <customFilter operator="lessThan" val="2.99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1"/>
  <sheetViews>
    <sheetView showGridLines="0" workbookViewId="0">
      <selection activeCell="N14" sqref="N14"/>
    </sheetView>
  </sheetViews>
  <sheetFormatPr baseColWidth="10" defaultRowHeight="15" x14ac:dyDescent="0.25"/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6" t="s">
        <v>14</v>
      </c>
    </row>
    <row r="2" spans="1:13" ht="15.75" thickBot="1" x14ac:dyDescent="0.3">
      <c r="A2" s="15">
        <v>-4071868</v>
      </c>
      <c r="B2" s="15">
        <v>8971976</v>
      </c>
      <c r="C2" s="15">
        <v>15701038</v>
      </c>
      <c r="D2" s="15">
        <v>8871976</v>
      </c>
      <c r="E2" s="15">
        <v>203124</v>
      </c>
      <c r="F2" s="15">
        <v>19772906</v>
      </c>
      <c r="G2" s="15">
        <v>9253255</v>
      </c>
      <c r="H2" s="19">
        <f>ratio(A2,C2)</f>
        <v>-0.25933750367332403</v>
      </c>
      <c r="I2" s="19">
        <f>ratio(B2,C2)</f>
        <v>0.57142565988312366</v>
      </c>
      <c r="J2" s="19">
        <f>ratio(D2,C2)</f>
        <v>0.56505665421610984</v>
      </c>
      <c r="K2" s="19">
        <f>ratio(E2,F2)</f>
        <v>1.0272845073961308E-2</v>
      </c>
      <c r="L2" s="19">
        <f>ratio(G2,C2)</f>
        <v>0.58934033533324359</v>
      </c>
      <c r="M2" s="17">
        <f>SCore_Altman(H2,I2,J2,K2,L2)</f>
        <v>2.9483925803838336</v>
      </c>
    </row>
    <row r="3" spans="1:13" ht="15.75" thickBot="1" x14ac:dyDescent="0.3">
      <c r="A3" s="15">
        <v>792206</v>
      </c>
      <c r="B3" s="15">
        <v>10563750</v>
      </c>
      <c r="C3" s="15">
        <v>22159962</v>
      </c>
      <c r="D3" s="15">
        <v>10463750</v>
      </c>
      <c r="E3" s="15">
        <v>208170</v>
      </c>
      <c r="F3" s="15">
        <v>21367756</v>
      </c>
      <c r="G3" s="15">
        <v>10921264</v>
      </c>
      <c r="H3" s="19">
        <f t="shared" ref="H3:H21" si="0">ratio(A3,C3)</f>
        <v>3.574942953422032E-2</v>
      </c>
      <c r="I3" s="19">
        <f t="shared" ref="I3:I21" si="1">ratio(B3,C3)</f>
        <v>0.47670433730888168</v>
      </c>
      <c r="J3" s="19">
        <f t="shared" ref="J3:J21" si="2">ratio(D3,C3)</f>
        <v>0.47219169419153334</v>
      </c>
      <c r="K3" s="19">
        <f t="shared" ref="K3:K21" si="3">ratio(E3,F3)</f>
        <v>9.742249022311935E-3</v>
      </c>
      <c r="L3" s="19">
        <f t="shared" ref="L3:L21" si="4">ratio(G3,C3)</f>
        <v>0.49283766822343827</v>
      </c>
      <c r="M3" s="17">
        <f t="shared" ref="M3:M21" si="5">SCore_Altman(H3,I3,J3,K3,L3)</f>
        <v>2.7667081584741604</v>
      </c>
    </row>
    <row r="4" spans="1:13" ht="15.75" thickBot="1" x14ac:dyDescent="0.3">
      <c r="A4" s="15">
        <v>5640419</v>
      </c>
      <c r="B4" s="15">
        <v>5228828</v>
      </c>
      <c r="C4" s="15">
        <v>25743034</v>
      </c>
      <c r="D4" s="15">
        <v>5128828</v>
      </c>
      <c r="E4" s="15">
        <v>306697</v>
      </c>
      <c r="F4" s="15">
        <v>20102615</v>
      </c>
      <c r="G4" s="15">
        <v>6114153</v>
      </c>
      <c r="H4" s="19">
        <f t="shared" si="0"/>
        <v>0.21910467118988383</v>
      </c>
      <c r="I4" s="19">
        <f t="shared" si="1"/>
        <v>0.20311622942346266</v>
      </c>
      <c r="J4" s="19">
        <f t="shared" si="2"/>
        <v>0.19923168341385092</v>
      </c>
      <c r="K4" s="19">
        <f t="shared" si="3"/>
        <v>1.5256572341459058E-2</v>
      </c>
      <c r="L4" s="19">
        <f t="shared" si="4"/>
        <v>0.23750708638305804</v>
      </c>
      <c r="M4" s="17">
        <f t="shared" si="5"/>
        <v>1.4511764045879669</v>
      </c>
    </row>
    <row r="5" spans="1:13" ht="15.75" thickBot="1" x14ac:dyDescent="0.3">
      <c r="A5" s="15">
        <v>4210530</v>
      </c>
      <c r="B5" s="15">
        <v>8992874</v>
      </c>
      <c r="C5" s="15">
        <v>19122529</v>
      </c>
      <c r="D5" s="15">
        <v>8892874</v>
      </c>
      <c r="E5" s="15">
        <v>255600</v>
      </c>
      <c r="F5" s="15">
        <v>14911999</v>
      </c>
      <c r="G5" s="15">
        <v>9287741</v>
      </c>
      <c r="H5" s="19">
        <f t="shared" si="0"/>
        <v>0.22018688009310902</v>
      </c>
      <c r="I5" s="19">
        <f t="shared" si="1"/>
        <v>0.47027639492663342</v>
      </c>
      <c r="J5" s="19">
        <f t="shared" si="2"/>
        <v>0.46504696110017668</v>
      </c>
      <c r="K5" s="19">
        <f t="shared" si="3"/>
        <v>1.7140559089361528E-2</v>
      </c>
      <c r="L5" s="19">
        <f t="shared" si="4"/>
        <v>0.48569626956769157</v>
      </c>
      <c r="M5" s="17">
        <f t="shared" si="5"/>
        <v>2.9527610893913416</v>
      </c>
    </row>
    <row r="6" spans="1:13" ht="15.75" thickBot="1" x14ac:dyDescent="0.3">
      <c r="A6" s="15">
        <v>2887233</v>
      </c>
      <c r="B6" s="15">
        <v>13147117</v>
      </c>
      <c r="C6" s="15">
        <v>21448394</v>
      </c>
      <c r="D6" s="15">
        <v>13047117</v>
      </c>
      <c r="E6" s="15">
        <v>196255</v>
      </c>
      <c r="F6" s="15">
        <v>18561161</v>
      </c>
      <c r="G6" s="15">
        <v>13543145</v>
      </c>
      <c r="H6" s="19">
        <f t="shared" si="0"/>
        <v>0.13461301578104171</v>
      </c>
      <c r="I6" s="19">
        <f t="shared" si="1"/>
        <v>0.61296510125653225</v>
      </c>
      <c r="J6" s="19">
        <f t="shared" si="2"/>
        <v>0.60830274751573477</v>
      </c>
      <c r="K6" s="19">
        <f t="shared" si="3"/>
        <v>1.0573422643120223E-2</v>
      </c>
      <c r="L6" s="19">
        <f t="shared" si="4"/>
        <v>0.63142932752913805</v>
      </c>
      <c r="M6" s="17">
        <f t="shared" si="5"/>
        <v>3.6642277792858011</v>
      </c>
    </row>
    <row r="7" spans="1:13" ht="15.75" thickBot="1" x14ac:dyDescent="0.3">
      <c r="A7" s="15">
        <v>1685691</v>
      </c>
      <c r="B7" s="15">
        <v>12971148</v>
      </c>
      <c r="C7" s="15">
        <v>21322103</v>
      </c>
      <c r="D7" s="15">
        <v>12871148</v>
      </c>
      <c r="E7" s="15">
        <v>347600</v>
      </c>
      <c r="F7" s="15">
        <v>19636412</v>
      </c>
      <c r="G7" s="15">
        <v>13906952</v>
      </c>
      <c r="H7" s="19">
        <f t="shared" si="0"/>
        <v>7.9058383687575284E-2</v>
      </c>
      <c r="I7" s="19">
        <f t="shared" si="1"/>
        <v>0.60834280746134661</v>
      </c>
      <c r="J7" s="19">
        <f t="shared" si="2"/>
        <v>0.60365283855912333</v>
      </c>
      <c r="K7" s="19">
        <f t="shared" si="3"/>
        <v>1.7701808252953748E-2</v>
      </c>
      <c r="L7" s="19">
        <f t="shared" si="4"/>
        <v>0.65223172404710739</v>
      </c>
      <c r="M7" s="17">
        <f t="shared" si="5"/>
        <v>3.6008049353909151</v>
      </c>
    </row>
    <row r="8" spans="1:13" ht="15.75" thickBot="1" x14ac:dyDescent="0.3">
      <c r="A8" s="15">
        <v>-3225736</v>
      </c>
      <c r="B8" s="15">
        <v>4960797</v>
      </c>
      <c r="C8" s="15">
        <v>19580822</v>
      </c>
      <c r="D8" s="15">
        <v>4860797</v>
      </c>
      <c r="E8" s="15">
        <v>365350</v>
      </c>
      <c r="F8" s="15">
        <v>22806558</v>
      </c>
      <c r="G8" s="15">
        <v>5597803</v>
      </c>
      <c r="H8" s="19">
        <f t="shared" si="0"/>
        <v>-0.16473955996331513</v>
      </c>
      <c r="I8" s="19">
        <f t="shared" si="1"/>
        <v>0.25334978276192899</v>
      </c>
      <c r="J8" s="19">
        <f t="shared" si="2"/>
        <v>0.24824274486535855</v>
      </c>
      <c r="K8" s="19">
        <f t="shared" si="3"/>
        <v>1.601951508859864E-2</v>
      </c>
      <c r="L8" s="19">
        <f t="shared" si="4"/>
        <v>0.28588192058535644</v>
      </c>
      <c r="M8" s="17">
        <f t="shared" si="5"/>
        <v>1.2714110296843359</v>
      </c>
    </row>
    <row r="9" spans="1:13" ht="15.75" thickBot="1" x14ac:dyDescent="0.3">
      <c r="A9" s="15">
        <v>3125064</v>
      </c>
      <c r="B9" s="15">
        <v>14107331</v>
      </c>
      <c r="C9" s="15">
        <v>20552628</v>
      </c>
      <c r="D9" s="15">
        <v>14007331</v>
      </c>
      <c r="E9" s="15">
        <v>296064</v>
      </c>
      <c r="F9" s="15">
        <v>17427564</v>
      </c>
      <c r="G9" s="15">
        <v>14593538</v>
      </c>
      <c r="H9" s="19">
        <f t="shared" si="0"/>
        <v>0.1520517960038979</v>
      </c>
      <c r="I9" s="19">
        <f t="shared" si="1"/>
        <v>0.6864003474397532</v>
      </c>
      <c r="J9" s="19">
        <f t="shared" si="2"/>
        <v>0.68153478961425273</v>
      </c>
      <c r="K9" s="19">
        <f t="shared" si="3"/>
        <v>1.6988260665690282E-2</v>
      </c>
      <c r="L9" s="19">
        <f t="shared" si="4"/>
        <v>0.71005703017638422</v>
      </c>
      <c r="M9" s="17">
        <f t="shared" si="5"/>
        <v>4.1120273768929874</v>
      </c>
    </row>
    <row r="10" spans="1:13" ht="15.75" thickBot="1" x14ac:dyDescent="0.3">
      <c r="A10" s="15">
        <v>4819843</v>
      </c>
      <c r="B10" s="15">
        <v>6813112</v>
      </c>
      <c r="C10" s="15">
        <v>23154062</v>
      </c>
      <c r="D10" s="15">
        <v>6713112</v>
      </c>
      <c r="E10" s="15">
        <v>266841</v>
      </c>
      <c r="F10" s="15">
        <v>18334219</v>
      </c>
      <c r="G10" s="15">
        <v>7410181</v>
      </c>
      <c r="H10" s="19">
        <f t="shared" si="0"/>
        <v>0.20816403618509788</v>
      </c>
      <c r="I10" s="19">
        <f t="shared" si="1"/>
        <v>0.29425126355798825</v>
      </c>
      <c r="J10" s="19">
        <f t="shared" si="2"/>
        <v>0.28993236694278524</v>
      </c>
      <c r="K10" s="19">
        <f t="shared" si="3"/>
        <v>1.455426053326842E-2</v>
      </c>
      <c r="L10" s="19">
        <f t="shared" si="4"/>
        <v>0.32003805638941452</v>
      </c>
      <c r="M10" s="17">
        <f t="shared" si="5"/>
        <v>1.9469759979674783</v>
      </c>
    </row>
    <row r="11" spans="1:13" ht="15.75" thickBot="1" x14ac:dyDescent="0.3">
      <c r="A11" s="15">
        <v>1524804</v>
      </c>
      <c r="B11" s="15">
        <v>5173541</v>
      </c>
      <c r="C11" s="15">
        <v>17658795</v>
      </c>
      <c r="D11" s="15">
        <v>5073541</v>
      </c>
      <c r="E11" s="15">
        <v>449026</v>
      </c>
      <c r="F11" s="15">
        <v>16133991</v>
      </c>
      <c r="G11" s="15">
        <v>5878212</v>
      </c>
      <c r="H11" s="19">
        <f t="shared" si="0"/>
        <v>8.6348134173368007E-2</v>
      </c>
      <c r="I11" s="19">
        <f t="shared" si="1"/>
        <v>0.29297248198418974</v>
      </c>
      <c r="J11" s="19">
        <f t="shared" si="2"/>
        <v>0.28730958142953694</v>
      </c>
      <c r="K11" s="19">
        <f t="shared" si="3"/>
        <v>2.7831055564615105E-2</v>
      </c>
      <c r="L11" s="19">
        <f t="shared" si="4"/>
        <v>0.33287729995166715</v>
      </c>
      <c r="M11" s="17">
        <f t="shared" si="5"/>
        <v>1.8111439104938638</v>
      </c>
    </row>
    <row r="12" spans="1:13" ht="15.75" thickBot="1" x14ac:dyDescent="0.3">
      <c r="A12" s="15">
        <v>-1946723</v>
      </c>
      <c r="B12" s="15">
        <v>6728620</v>
      </c>
      <c r="C12" s="15">
        <v>15406364</v>
      </c>
      <c r="D12" s="15">
        <v>6628620</v>
      </c>
      <c r="E12" s="15">
        <v>228340</v>
      </c>
      <c r="F12" s="15">
        <v>17353087</v>
      </c>
      <c r="G12" s="15">
        <v>6896293</v>
      </c>
      <c r="H12" s="19">
        <f t="shared" si="0"/>
        <v>-0.1263583672305808</v>
      </c>
      <c r="I12" s="19">
        <f t="shared" si="1"/>
        <v>0.43674289404041083</v>
      </c>
      <c r="J12" s="19">
        <f t="shared" si="2"/>
        <v>0.43025206985892323</v>
      </c>
      <c r="K12" s="19">
        <f t="shared" si="3"/>
        <v>1.3158465695469631E-2</v>
      </c>
      <c r="L12" s="19">
        <f t="shared" si="4"/>
        <v>0.44762625367023651</v>
      </c>
      <c r="M12" s="17">
        <f t="shared" si="5"/>
        <v>2.3347155483481727</v>
      </c>
    </row>
    <row r="13" spans="1:13" ht="15.75" thickBot="1" x14ac:dyDescent="0.3">
      <c r="A13" s="15">
        <v>1153126</v>
      </c>
      <c r="B13" s="15">
        <v>3656309</v>
      </c>
      <c r="C13" s="15">
        <v>22435472</v>
      </c>
      <c r="D13" s="15">
        <v>3556309</v>
      </c>
      <c r="E13" s="15">
        <v>370975</v>
      </c>
      <c r="F13" s="15">
        <v>21282346</v>
      </c>
      <c r="G13" s="15">
        <v>4634339</v>
      </c>
      <c r="H13" s="19">
        <f t="shared" si="0"/>
        <v>5.1397447755946478E-2</v>
      </c>
      <c r="I13" s="19">
        <f t="shared" si="1"/>
        <v>0.1629700057123826</v>
      </c>
      <c r="J13" s="19">
        <f t="shared" si="2"/>
        <v>0.15851277833602073</v>
      </c>
      <c r="K13" s="19">
        <f t="shared" si="3"/>
        <v>1.7431114032259415E-2</v>
      </c>
      <c r="L13" s="19">
        <f t="shared" si="4"/>
        <v>0.20656302662141451</v>
      </c>
      <c r="M13" s="17">
        <f t="shared" si="5"/>
        <v>1.0297422458274885</v>
      </c>
    </row>
    <row r="14" spans="1:13" ht="15.75" thickBot="1" x14ac:dyDescent="0.3">
      <c r="A14" s="15">
        <v>-2832271</v>
      </c>
      <c r="B14" s="15">
        <v>9000832</v>
      </c>
      <c r="C14" s="15">
        <v>11683026</v>
      </c>
      <c r="D14" s="15">
        <v>8900832</v>
      </c>
      <c r="E14" s="15">
        <v>107927</v>
      </c>
      <c r="F14" s="15">
        <v>14515297</v>
      </c>
      <c r="G14" s="15">
        <v>9464077</v>
      </c>
      <c r="H14" s="19">
        <f t="shared" si="0"/>
        <v>-0.24242614884191818</v>
      </c>
      <c r="I14" s="19">
        <f t="shared" si="1"/>
        <v>0.77041958136530719</v>
      </c>
      <c r="J14" s="19">
        <f t="shared" si="2"/>
        <v>0.76186015506599059</v>
      </c>
      <c r="K14" s="19">
        <f t="shared" si="3"/>
        <v>7.435397291560758E-3</v>
      </c>
      <c r="L14" s="19">
        <f t="shared" si="4"/>
        <v>0.81007069572557655</v>
      </c>
      <c r="M14" s="17">
        <f t="shared" si="5"/>
        <v>4.115536410423684</v>
      </c>
    </row>
    <row r="15" spans="1:13" ht="15.75" thickBot="1" x14ac:dyDescent="0.3">
      <c r="A15" s="15">
        <v>2101397</v>
      </c>
      <c r="B15" s="15">
        <v>8502703</v>
      </c>
      <c r="C15" s="15">
        <v>20815120</v>
      </c>
      <c r="D15" s="15">
        <v>8402703</v>
      </c>
      <c r="E15" s="15">
        <v>309383</v>
      </c>
      <c r="F15" s="15">
        <v>18713723</v>
      </c>
      <c r="G15" s="15">
        <v>9212010</v>
      </c>
      <c r="H15" s="19">
        <f t="shared" si="0"/>
        <v>0.10095531517473837</v>
      </c>
      <c r="I15" s="19">
        <f t="shared" si="1"/>
        <v>0.40848685955209485</v>
      </c>
      <c r="J15" s="19">
        <f t="shared" si="2"/>
        <v>0.40368265952826599</v>
      </c>
      <c r="K15" s="19">
        <f t="shared" si="3"/>
        <v>1.6532413138743155E-2</v>
      </c>
      <c r="L15" s="19">
        <f t="shared" si="4"/>
        <v>0.44256338661511441</v>
      </c>
      <c r="M15" s="17">
        <f t="shared" si="5"/>
        <v>2.4772210291376418</v>
      </c>
    </row>
    <row r="16" spans="1:13" ht="15.75" thickBot="1" x14ac:dyDescent="0.3">
      <c r="A16" s="15">
        <v>-1287452</v>
      </c>
      <c r="B16" s="15">
        <v>10478281</v>
      </c>
      <c r="C16" s="15">
        <v>17824456</v>
      </c>
      <c r="D16" s="15">
        <v>10378281</v>
      </c>
      <c r="E16" s="15">
        <v>392505</v>
      </c>
      <c r="F16" s="15">
        <v>19111908</v>
      </c>
      <c r="G16" s="15">
        <v>10742805</v>
      </c>
      <c r="H16" s="19">
        <f t="shared" si="0"/>
        <v>-7.2229525546249493E-2</v>
      </c>
      <c r="I16" s="19">
        <f t="shared" si="1"/>
        <v>0.58785979218664508</v>
      </c>
      <c r="J16" s="19">
        <f t="shared" si="2"/>
        <v>0.58224952279048514</v>
      </c>
      <c r="K16" s="19">
        <f t="shared" si="3"/>
        <v>2.0537195972270272E-2</v>
      </c>
      <c r="L16" s="19">
        <f t="shared" si="4"/>
        <v>0.60270030120414331</v>
      </c>
      <c r="M16" s="17">
        <f t="shared" si="5"/>
        <v>3.2721716221007053</v>
      </c>
    </row>
    <row r="17" spans="1:13" ht="15.75" thickBot="1" x14ac:dyDescent="0.3">
      <c r="A17" s="15">
        <v>-12405719</v>
      </c>
      <c r="B17" s="15">
        <v>749472</v>
      </c>
      <c r="C17" s="15">
        <v>11625342</v>
      </c>
      <c r="D17" s="15">
        <v>649472</v>
      </c>
      <c r="E17" s="15">
        <v>485882</v>
      </c>
      <c r="F17" s="15">
        <v>24031061</v>
      </c>
      <c r="G17" s="15">
        <v>1704025</v>
      </c>
      <c r="H17" s="19">
        <f t="shared" si="0"/>
        <v>-1.0671272294612923</v>
      </c>
      <c r="I17" s="19">
        <f t="shared" si="1"/>
        <v>6.4468813046532306E-2</v>
      </c>
      <c r="J17" s="19">
        <f t="shared" si="2"/>
        <v>5.5866915571172016E-2</v>
      </c>
      <c r="K17" s="19">
        <f t="shared" si="3"/>
        <v>2.021891584395712E-2</v>
      </c>
      <c r="L17" s="19">
        <f t="shared" si="4"/>
        <v>0.14657848345450827</v>
      </c>
      <c r="M17" s="17">
        <f t="shared" si="5"/>
        <v>-0.84737226122611009</v>
      </c>
    </row>
    <row r="18" spans="1:13" ht="15.75" thickBot="1" x14ac:dyDescent="0.3">
      <c r="A18" s="15">
        <v>-13437609</v>
      </c>
      <c r="B18" s="15">
        <v>13282127</v>
      </c>
      <c r="C18" s="15">
        <v>11413864</v>
      </c>
      <c r="D18" s="15">
        <v>13182127</v>
      </c>
      <c r="E18" s="15">
        <v>451232</v>
      </c>
      <c r="F18" s="15">
        <v>24851473</v>
      </c>
      <c r="G18" s="15">
        <v>14021717</v>
      </c>
      <c r="H18" s="19">
        <f t="shared" si="0"/>
        <v>-1.1773058624143411</v>
      </c>
      <c r="I18" s="19">
        <f t="shared" si="1"/>
        <v>1.163683656998191</v>
      </c>
      <c r="J18" s="19">
        <f t="shared" si="2"/>
        <v>1.1549223821135419</v>
      </c>
      <c r="K18" s="19">
        <f t="shared" si="3"/>
        <v>1.8157153099134203E-2</v>
      </c>
      <c r="L18" s="19">
        <f t="shared" si="4"/>
        <v>1.2284811699175668</v>
      </c>
      <c r="M18" s="17">
        <f t="shared" si="5"/>
        <v>5.2657809264820754</v>
      </c>
    </row>
    <row r="19" spans="1:13" ht="15.75" thickBot="1" x14ac:dyDescent="0.3">
      <c r="A19" s="15">
        <v>7032191</v>
      </c>
      <c r="B19" s="15">
        <v>10833928</v>
      </c>
      <c r="C19" s="15">
        <v>20761346</v>
      </c>
      <c r="D19" s="15">
        <v>10733928</v>
      </c>
      <c r="E19" s="15">
        <v>108050</v>
      </c>
      <c r="F19" s="15">
        <v>13729155</v>
      </c>
      <c r="G19" s="15">
        <v>11770412</v>
      </c>
      <c r="H19" s="19">
        <f t="shared" si="0"/>
        <v>0.33871556304682748</v>
      </c>
      <c r="I19" s="19">
        <f t="shared" si="1"/>
        <v>0.52183167700205946</v>
      </c>
      <c r="J19" s="19">
        <f t="shared" si="2"/>
        <v>0.51701503361101919</v>
      </c>
      <c r="K19" s="19">
        <f t="shared" si="3"/>
        <v>7.8701129093523958E-3</v>
      </c>
      <c r="L19" s="19">
        <f t="shared" si="4"/>
        <v>0.56693877169620888</v>
      </c>
      <c r="M19" s="17">
        <f t="shared" si="5"/>
        <v>3.4142665350455634</v>
      </c>
    </row>
    <row r="20" spans="1:13" ht="15.75" thickBot="1" x14ac:dyDescent="0.3">
      <c r="A20" s="15">
        <v>4585375</v>
      </c>
      <c r="B20" s="15">
        <v>3051865</v>
      </c>
      <c r="C20" s="15">
        <v>16049610</v>
      </c>
      <c r="D20" s="15">
        <v>2951865</v>
      </c>
      <c r="E20" s="15">
        <v>461580</v>
      </c>
      <c r="F20" s="15">
        <v>11464235</v>
      </c>
      <c r="G20" s="15">
        <v>3695361</v>
      </c>
      <c r="H20" s="19">
        <f t="shared" si="0"/>
        <v>0.28570008866259056</v>
      </c>
      <c r="I20" s="19">
        <f t="shared" si="1"/>
        <v>0.19015197254014271</v>
      </c>
      <c r="J20" s="19">
        <f t="shared" si="2"/>
        <v>0.18392129154540204</v>
      </c>
      <c r="K20" s="19">
        <f t="shared" si="3"/>
        <v>4.0262608015275335E-2</v>
      </c>
      <c r="L20" s="19">
        <f t="shared" si="4"/>
        <v>0.23024615551405922</v>
      </c>
      <c r="M20" s="17">
        <f t="shared" si="5"/>
        <v>1.4701666042188457</v>
      </c>
    </row>
    <row r="21" spans="1:13" ht="15.75" thickBot="1" x14ac:dyDescent="0.3">
      <c r="A21" s="15">
        <v>-5673288</v>
      </c>
      <c r="B21" s="15">
        <v>9253962</v>
      </c>
      <c r="C21" s="15">
        <v>13532916</v>
      </c>
      <c r="D21" s="15">
        <v>9153962</v>
      </c>
      <c r="E21" s="15">
        <v>250839</v>
      </c>
      <c r="F21" s="15">
        <v>19206204</v>
      </c>
      <c r="G21" s="15">
        <v>9488747</v>
      </c>
      <c r="H21" s="19">
        <f t="shared" si="0"/>
        <v>-0.41922140062053143</v>
      </c>
      <c r="I21" s="19">
        <f t="shared" si="1"/>
        <v>0.68381138255790552</v>
      </c>
      <c r="J21" s="19">
        <f t="shared" si="2"/>
        <v>0.67642199212645671</v>
      </c>
      <c r="K21" s="19">
        <f t="shared" si="3"/>
        <v>1.3060311136963869E-2</v>
      </c>
      <c r="L21" s="19">
        <f t="shared" si="4"/>
        <v>0.70116056288238249</v>
      </c>
      <c r="M21" s="17">
        <f t="shared" si="5"/>
        <v>3.3947584178554155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 filterMode="1"/>
  <dimension ref="A1:M21"/>
  <sheetViews>
    <sheetView showGridLines="0" workbookViewId="0">
      <selection activeCell="M3" sqref="M3"/>
    </sheetView>
  </sheetViews>
  <sheetFormatPr baseColWidth="10" defaultRowHeight="15" x14ac:dyDescent="0.25"/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6" t="s">
        <v>15</v>
      </c>
    </row>
    <row r="2" spans="1:13" ht="15.75" hidden="1" thickBot="1" x14ac:dyDescent="0.3">
      <c r="A2" s="15">
        <v>-6311341</v>
      </c>
      <c r="B2" s="15">
        <v>12219821</v>
      </c>
      <c r="C2" s="15">
        <v>14950608</v>
      </c>
      <c r="D2" s="15">
        <v>12119821</v>
      </c>
      <c r="E2" s="15">
        <v>263374</v>
      </c>
      <c r="F2" s="15">
        <v>21261949</v>
      </c>
      <c r="G2" s="15">
        <v>12774705</v>
      </c>
      <c r="H2" s="19">
        <f>ratio(A2,C2)</f>
        <v>-0.42214610937561869</v>
      </c>
      <c r="I2" s="19">
        <f>ratio(B2,C2)</f>
        <v>0.8173460905402643</v>
      </c>
      <c r="J2" s="19">
        <f>ratio(D2,C2)</f>
        <v>0.81065739935125047</v>
      </c>
      <c r="K2" s="19">
        <f>ratio(E2,F2)</f>
        <v>1.2387105246090093E-2</v>
      </c>
      <c r="L2" s="19">
        <f>ratio(G2,C2)</f>
        <v>0.85446056775751189</v>
      </c>
      <c r="M2" s="17">
        <f>SCore_Altman(H2,I2,J2,K2,L2)</f>
        <v>4.1739169837021626</v>
      </c>
    </row>
    <row r="3" spans="1:13" ht="15.75" thickBot="1" x14ac:dyDescent="0.3">
      <c r="A3" s="15">
        <v>8695609</v>
      </c>
      <c r="B3" s="15">
        <v>5934684</v>
      </c>
      <c r="C3" s="15">
        <v>21803518</v>
      </c>
      <c r="D3" s="15">
        <v>5834684</v>
      </c>
      <c r="E3" s="15">
        <v>478604</v>
      </c>
      <c r="F3" s="15">
        <v>13107909</v>
      </c>
      <c r="G3" s="15">
        <v>6794410</v>
      </c>
      <c r="H3" s="19">
        <v>0.53821965072837108</v>
      </c>
      <c r="I3" s="19">
        <v>0.34794469933580591</v>
      </c>
      <c r="J3" s="19">
        <v>0.44020217990296484</v>
      </c>
      <c r="K3" s="19">
        <v>3.7096838064542122E-2</v>
      </c>
      <c r="L3" s="19">
        <v>0.38247309258035789</v>
      </c>
      <c r="M3" s="17">
        <f t="shared" ref="M3:M21" si="0">SCore_Altman(H3,I3,J3,K3,L3)</f>
        <v>2.9900020759504602</v>
      </c>
    </row>
    <row r="4" spans="1:13" ht="15.75" thickBot="1" x14ac:dyDescent="0.3">
      <c r="A4" s="15">
        <v>11842621</v>
      </c>
      <c r="B4" s="15">
        <v>5946111</v>
      </c>
      <c r="C4" s="15">
        <v>23514900</v>
      </c>
      <c r="D4" s="15">
        <v>5846111</v>
      </c>
      <c r="E4" s="15">
        <v>445298</v>
      </c>
      <c r="F4" s="15">
        <v>11672279</v>
      </c>
      <c r="G4" s="15">
        <v>6142666</v>
      </c>
      <c r="H4" s="19">
        <v>0.73267369292946494</v>
      </c>
      <c r="I4" s="19">
        <v>0.32023320930480687</v>
      </c>
      <c r="J4" s="19">
        <v>0.40211173388123372</v>
      </c>
      <c r="K4" s="19">
        <v>3.8807227592690806E-2</v>
      </c>
      <c r="L4" s="19">
        <v>0.31252660633518742</v>
      </c>
      <c r="M4" s="17">
        <f t="shared" si="0"/>
        <v>2.9900020626346251</v>
      </c>
    </row>
    <row r="5" spans="1:13" ht="15.75" thickBot="1" x14ac:dyDescent="0.3">
      <c r="A5" s="15">
        <v>4948429</v>
      </c>
      <c r="B5" s="15">
        <v>6452618</v>
      </c>
      <c r="C5" s="15">
        <v>23486157</v>
      </c>
      <c r="D5" s="15">
        <v>6352618</v>
      </c>
      <c r="E5" s="15">
        <v>323819</v>
      </c>
      <c r="F5" s="15">
        <v>18537728</v>
      </c>
      <c r="G5" s="15">
        <v>6902284</v>
      </c>
      <c r="H5" s="19">
        <v>0.26693233740368233</v>
      </c>
      <c r="I5" s="19">
        <v>0.38630028661010535</v>
      </c>
      <c r="J5" s="19">
        <v>0.52535654680632793</v>
      </c>
      <c r="K5" s="19">
        <v>1.7661379181111218E-2</v>
      </c>
      <c r="L5" s="19">
        <v>0.38497417020448738</v>
      </c>
      <c r="M5" s="17">
        <f t="shared" si="0"/>
        <v>2.9900018341423973</v>
      </c>
    </row>
    <row r="6" spans="1:13" ht="15.75" thickBot="1" x14ac:dyDescent="0.3">
      <c r="A6" s="15">
        <v>-1437436</v>
      </c>
      <c r="B6" s="15">
        <v>9825695</v>
      </c>
      <c r="C6" s="15">
        <v>23468782</v>
      </c>
      <c r="D6" s="15">
        <v>9725695</v>
      </c>
      <c r="E6" s="15">
        <v>182774</v>
      </c>
      <c r="F6" s="15">
        <v>24906218</v>
      </c>
      <c r="G6" s="15">
        <v>9941860</v>
      </c>
      <c r="H6" s="19">
        <v>0</v>
      </c>
      <c r="I6" s="19">
        <v>0.4810966879789712</v>
      </c>
      <c r="J6" s="19">
        <v>0.55857658426082279</v>
      </c>
      <c r="K6" s="19">
        <v>7.3467084146849196E-3</v>
      </c>
      <c r="L6" s="19">
        <v>0.46922541693009401</v>
      </c>
      <c r="M6" s="17">
        <f t="shared" si="0"/>
        <v>2.9900023077932496</v>
      </c>
    </row>
    <row r="7" spans="1:13" ht="15.75" thickBot="1" x14ac:dyDescent="0.3">
      <c r="A7" s="15">
        <v>2658190</v>
      </c>
      <c r="B7" s="15">
        <v>5882746</v>
      </c>
      <c r="C7" s="15">
        <v>24548838</v>
      </c>
      <c r="D7" s="15">
        <v>5782746</v>
      </c>
      <c r="E7" s="15">
        <v>189074</v>
      </c>
      <c r="F7" s="15">
        <v>21890648</v>
      </c>
      <c r="G7" s="15">
        <v>6665520</v>
      </c>
      <c r="H7" s="19">
        <v>0.13391477193968818</v>
      </c>
      <c r="I7" s="19">
        <v>0.3860999701495873</v>
      </c>
      <c r="J7" s="19">
        <v>0.56916352326646424</v>
      </c>
      <c r="K7" s="19">
        <v>8.7187511254635097E-3</v>
      </c>
      <c r="L7" s="19">
        <v>0.4056986558729318</v>
      </c>
      <c r="M7" s="17">
        <f t="shared" si="0"/>
        <v>2.9900015192087168</v>
      </c>
    </row>
    <row r="8" spans="1:13" ht="15.75" hidden="1" thickBot="1" x14ac:dyDescent="0.3">
      <c r="A8" s="15">
        <v>-3107811</v>
      </c>
      <c r="B8" s="15">
        <v>13189767</v>
      </c>
      <c r="C8" s="15">
        <v>15253511</v>
      </c>
      <c r="D8" s="15">
        <v>13089767</v>
      </c>
      <c r="E8" s="15">
        <v>215518</v>
      </c>
      <c r="F8" s="15">
        <v>18361322</v>
      </c>
      <c r="G8" s="15">
        <v>14021906</v>
      </c>
      <c r="H8" s="19">
        <f t="shared" ref="H8:H20" si="1">ratio(A8,C8)</f>
        <v>-0.20374397737019365</v>
      </c>
      <c r="I8" s="19">
        <f t="shared" ref="I8:I20" si="2">ratio(B8,C8)</f>
        <v>0.86470367379680657</v>
      </c>
      <c r="J8" s="19">
        <f t="shared" ref="J8:J20" si="3">ratio(D8,C8)</f>
        <v>0.8581478061018214</v>
      </c>
      <c r="K8" s="19">
        <f t="shared" ref="K8:K20" si="4">ratio(E8,F8)</f>
        <v>1.1737608000121124E-2</v>
      </c>
      <c r="L8" s="19">
        <f t="shared" ref="L8:L20" si="5">ratio(G8,C8)</f>
        <v>0.91925760567517867</v>
      </c>
      <c r="M8" s="17">
        <f t="shared" si="0"/>
        <v>4.7233610434768831</v>
      </c>
    </row>
    <row r="9" spans="1:13" ht="15.75" thickBot="1" x14ac:dyDescent="0.3">
      <c r="A9" s="15">
        <v>-3924307</v>
      </c>
      <c r="B9" s="15">
        <v>2011386</v>
      </c>
      <c r="C9" s="15">
        <v>20764602</v>
      </c>
      <c r="D9" s="15">
        <v>1911386</v>
      </c>
      <c r="E9" s="15">
        <v>231851</v>
      </c>
      <c r="F9" s="15">
        <v>24688909</v>
      </c>
      <c r="G9" s="15">
        <v>2140499</v>
      </c>
      <c r="H9" s="19">
        <v>0.60593865130262192</v>
      </c>
      <c r="I9" s="19">
        <v>0.28257825110722501</v>
      </c>
      <c r="J9" s="19">
        <v>0.48735509936714089</v>
      </c>
      <c r="K9" s="19">
        <v>1.0138952901862985E-2</v>
      </c>
      <c r="L9" s="19">
        <v>0.25316202926331743</v>
      </c>
      <c r="M9" s="17">
        <f t="shared" si="0"/>
        <v>2.989999999999998</v>
      </c>
    </row>
    <row r="10" spans="1:13" ht="15.75" hidden="1" thickBot="1" x14ac:dyDescent="0.3">
      <c r="A10" s="15">
        <v>-299386</v>
      </c>
      <c r="B10" s="15">
        <v>9935835</v>
      </c>
      <c r="C10" s="15">
        <v>16359826</v>
      </c>
      <c r="D10" s="15">
        <v>9835835</v>
      </c>
      <c r="E10" s="15">
        <v>113945</v>
      </c>
      <c r="F10" s="15">
        <v>16659212</v>
      </c>
      <c r="G10" s="15">
        <v>10043809</v>
      </c>
      <c r="H10" s="19">
        <f t="shared" si="1"/>
        <v>-1.8300072384632941E-2</v>
      </c>
      <c r="I10" s="19">
        <f t="shared" si="2"/>
        <v>0.60733133714258325</v>
      </c>
      <c r="J10" s="19">
        <f t="shared" si="3"/>
        <v>0.60121880269386729</v>
      </c>
      <c r="K10" s="19">
        <f t="shared" si="4"/>
        <v>6.8397592875341284E-3</v>
      </c>
      <c r="L10" s="19">
        <f t="shared" si="5"/>
        <v>0.61393128508823991</v>
      </c>
      <c r="M10" s="17">
        <f t="shared" si="0"/>
        <v>3.4297470434034909</v>
      </c>
    </row>
    <row r="11" spans="1:13" ht="15.75" thickBot="1" x14ac:dyDescent="0.3">
      <c r="A11" s="15">
        <v>3215388</v>
      </c>
      <c r="B11" s="15">
        <v>10563993</v>
      </c>
      <c r="C11" s="15">
        <v>22907859</v>
      </c>
      <c r="D11" s="15">
        <v>10463993</v>
      </c>
      <c r="E11" s="15">
        <v>160618</v>
      </c>
      <c r="F11" s="15">
        <v>19692471</v>
      </c>
      <c r="G11" s="15">
        <v>11242611</v>
      </c>
      <c r="H11" s="19">
        <v>0.14174763328352813</v>
      </c>
      <c r="I11" s="19">
        <v>0.47860373550263507</v>
      </c>
      <c r="J11" s="19">
        <v>0.49714849075110557</v>
      </c>
      <c r="K11" s="19">
        <v>8.1586549557119883E-3</v>
      </c>
      <c r="L11" s="19">
        <v>0.50488009461746186</v>
      </c>
      <c r="M11" s="17">
        <f t="shared" si="0"/>
        <v>2.9900028166188428</v>
      </c>
    </row>
    <row r="12" spans="1:13" ht="15.75" hidden="1" thickBot="1" x14ac:dyDescent="0.3">
      <c r="A12" s="15">
        <v>-1382090</v>
      </c>
      <c r="B12" s="15">
        <v>11377713</v>
      </c>
      <c r="C12" s="15">
        <v>19613743</v>
      </c>
      <c r="D12" s="15">
        <v>11277713</v>
      </c>
      <c r="E12" s="15">
        <v>436345</v>
      </c>
      <c r="F12" s="15">
        <v>20995833</v>
      </c>
      <c r="G12" s="15">
        <v>11890815</v>
      </c>
      <c r="H12" s="19">
        <f t="shared" si="1"/>
        <v>-7.0465387458171547E-2</v>
      </c>
      <c r="I12" s="19">
        <f t="shared" si="2"/>
        <v>0.58008881833518466</v>
      </c>
      <c r="J12" s="19">
        <f t="shared" si="3"/>
        <v>0.57499035242788687</v>
      </c>
      <c r="K12" s="19">
        <f t="shared" si="4"/>
        <v>2.0782457166619681E-2</v>
      </c>
      <c r="L12" s="19">
        <f t="shared" si="5"/>
        <v>0.6062491488748476</v>
      </c>
      <c r="M12" s="17">
        <f t="shared" si="0"/>
        <v>3.2431464177574241</v>
      </c>
    </row>
    <row r="13" spans="1:13" ht="15.75" thickBot="1" x14ac:dyDescent="0.3">
      <c r="A13" s="15">
        <v>-5527357</v>
      </c>
      <c r="B13" s="15">
        <v>2634310</v>
      </c>
      <c r="C13" s="15">
        <v>17167143</v>
      </c>
      <c r="D13" s="15">
        <v>2534310</v>
      </c>
      <c r="E13" s="15">
        <v>225513</v>
      </c>
      <c r="F13" s="15">
        <v>22694500</v>
      </c>
      <c r="G13" s="15">
        <v>3438036</v>
      </c>
      <c r="H13" s="19">
        <v>0.54776684892277816</v>
      </c>
      <c r="I13" s="19">
        <v>0.29860878630084448</v>
      </c>
      <c r="J13" s="19">
        <v>0.46429994839740546</v>
      </c>
      <c r="K13" s="19">
        <v>1.0197773751027799E-2</v>
      </c>
      <c r="L13" s="19">
        <v>0.37669568219161681</v>
      </c>
      <c r="M13" s="17">
        <f t="shared" si="0"/>
        <v>2.9899999999999958</v>
      </c>
    </row>
    <row r="14" spans="1:13" ht="15.75" thickBot="1" x14ac:dyDescent="0.3">
      <c r="A14" s="15">
        <v>8428979</v>
      </c>
      <c r="B14" s="15">
        <v>5310524</v>
      </c>
      <c r="C14" s="15">
        <v>18437602</v>
      </c>
      <c r="D14" s="15">
        <v>5210524</v>
      </c>
      <c r="E14" s="15">
        <v>184084</v>
      </c>
      <c r="F14" s="15">
        <v>10008623</v>
      </c>
      <c r="G14" s="15">
        <v>5946934</v>
      </c>
      <c r="H14" s="19">
        <v>0.59193292913009965</v>
      </c>
      <c r="I14" s="19">
        <v>0.35043858555269991</v>
      </c>
      <c r="J14" s="19">
        <v>0.42422828030496806</v>
      </c>
      <c r="K14" s="19">
        <v>1.8501610583873049E-2</v>
      </c>
      <c r="L14" s="19">
        <v>0.37839278437732909</v>
      </c>
      <c r="M14" s="17">
        <f t="shared" si="0"/>
        <v>2.9900022176795691</v>
      </c>
    </row>
    <row r="15" spans="1:13" ht="15.75" thickBot="1" x14ac:dyDescent="0.3">
      <c r="A15" s="15">
        <v>8631307</v>
      </c>
      <c r="B15" s="15">
        <v>4043264</v>
      </c>
      <c r="C15" s="15">
        <v>20863713</v>
      </c>
      <c r="D15" s="15">
        <v>3943264</v>
      </c>
      <c r="E15" s="15">
        <v>216505</v>
      </c>
      <c r="F15" s="15">
        <v>12232406</v>
      </c>
      <c r="G15" s="15">
        <v>5041157</v>
      </c>
      <c r="H15" s="19">
        <v>0.77404945139889492</v>
      </c>
      <c r="I15" s="19">
        <v>0.2860474762111056</v>
      </c>
      <c r="J15" s="19">
        <v>0.39583213806358281</v>
      </c>
      <c r="K15" s="19">
        <v>1.8029087477349496E-2</v>
      </c>
      <c r="L15" s="19">
        <v>0.34395628326855426</v>
      </c>
      <c r="M15" s="17">
        <f t="shared" si="0"/>
        <v>2.9900016434557402</v>
      </c>
    </row>
    <row r="16" spans="1:13" ht="15.75" hidden="1" thickBot="1" x14ac:dyDescent="0.3">
      <c r="A16" s="15">
        <v>-2713308</v>
      </c>
      <c r="B16" s="15">
        <v>7931167</v>
      </c>
      <c r="C16" s="15">
        <v>10681783</v>
      </c>
      <c r="D16" s="15">
        <v>7831167</v>
      </c>
      <c r="E16" s="15">
        <v>434862</v>
      </c>
      <c r="F16" s="15">
        <v>13395091</v>
      </c>
      <c r="G16" s="15">
        <v>8042661</v>
      </c>
      <c r="H16" s="19">
        <f t="shared" si="1"/>
        <v>-0.2540126493863431</v>
      </c>
      <c r="I16" s="19">
        <f t="shared" si="2"/>
        <v>0.74249467528033475</v>
      </c>
      <c r="J16" s="19">
        <f t="shared" si="3"/>
        <v>0.73313294231871218</v>
      </c>
      <c r="K16" s="19">
        <f t="shared" si="4"/>
        <v>3.2464281131050175E-2</v>
      </c>
      <c r="L16" s="19">
        <f t="shared" si="5"/>
        <v>0.75293244582856622</v>
      </c>
      <c r="M16" s="17">
        <f t="shared" si="0"/>
        <v>3.9256741578419749</v>
      </c>
    </row>
    <row r="17" spans="1:13" ht="15.75" hidden="1" thickBot="1" x14ac:dyDescent="0.3">
      <c r="A17" s="15">
        <v>-9895761</v>
      </c>
      <c r="B17" s="15">
        <v>14437013</v>
      </c>
      <c r="C17" s="15">
        <v>12930169</v>
      </c>
      <c r="D17" s="15">
        <v>14337013</v>
      </c>
      <c r="E17" s="15">
        <v>351564</v>
      </c>
      <c r="F17" s="15">
        <v>22825930</v>
      </c>
      <c r="G17" s="15">
        <v>14865971</v>
      </c>
      <c r="H17" s="19">
        <f t="shared" si="1"/>
        <v>-0.76532340760588669</v>
      </c>
      <c r="I17" s="19">
        <f t="shared" si="2"/>
        <v>1.1165370692370689</v>
      </c>
      <c r="J17" s="19">
        <f t="shared" si="3"/>
        <v>1.1088032182719345</v>
      </c>
      <c r="K17" s="19">
        <f t="shared" si="4"/>
        <v>1.5401957335363772E-2</v>
      </c>
      <c r="L17" s="19">
        <f t="shared" si="5"/>
        <v>1.1497120416600897</v>
      </c>
      <c r="M17" s="17">
        <f t="shared" si="0"/>
        <v>5.4616179321218636</v>
      </c>
    </row>
    <row r="18" spans="1:13" ht="15.75" hidden="1" thickBot="1" x14ac:dyDescent="0.3">
      <c r="A18" s="15">
        <v>4022732</v>
      </c>
      <c r="B18" s="15">
        <v>11162302</v>
      </c>
      <c r="C18" s="15">
        <v>20967235</v>
      </c>
      <c r="D18" s="15">
        <v>11062302</v>
      </c>
      <c r="E18" s="15">
        <v>110548</v>
      </c>
      <c r="F18" s="15">
        <v>16944503</v>
      </c>
      <c r="G18" s="15">
        <v>11673279</v>
      </c>
      <c r="H18" s="19">
        <f t="shared" si="1"/>
        <v>0.19185801084406218</v>
      </c>
      <c r="I18" s="19">
        <f t="shared" si="2"/>
        <v>0.53236881257829183</v>
      </c>
      <c r="J18" s="19">
        <f t="shared" si="3"/>
        <v>0.5275994665009478</v>
      </c>
      <c r="K18" s="19">
        <f t="shared" si="4"/>
        <v>6.5241217166416739E-3</v>
      </c>
      <c r="L18" s="19">
        <f t="shared" si="5"/>
        <v>0.55673907408392187</v>
      </c>
      <c r="M18" s="17">
        <f t="shared" si="0"/>
        <v>3.2767209981154335</v>
      </c>
    </row>
    <row r="19" spans="1:13" ht="15.75" thickBot="1" x14ac:dyDescent="0.3">
      <c r="A19" s="15">
        <v>-6873012</v>
      </c>
      <c r="B19" s="15">
        <v>1468236</v>
      </c>
      <c r="C19" s="15">
        <v>16714157</v>
      </c>
      <c r="D19" s="15">
        <v>1368236</v>
      </c>
      <c r="E19" s="15">
        <v>103916</v>
      </c>
      <c r="F19" s="15">
        <v>23587169</v>
      </c>
      <c r="G19" s="15">
        <v>1876747</v>
      </c>
      <c r="H19" s="19">
        <v>1.4632833636030957</v>
      </c>
      <c r="I19" s="19">
        <v>0.16575018861800167</v>
      </c>
      <c r="J19" s="19">
        <v>0.24133456545629092</v>
      </c>
      <c r="K19" s="19">
        <v>4.4895976446477038E-3</v>
      </c>
      <c r="L19" s="19">
        <v>0.20311500451056874</v>
      </c>
      <c r="M19" s="17">
        <f t="shared" si="0"/>
        <v>2.9900000144875238</v>
      </c>
    </row>
    <row r="20" spans="1:13" ht="15.75" hidden="1" thickBot="1" x14ac:dyDescent="0.3">
      <c r="A20" s="15">
        <v>-8261638</v>
      </c>
      <c r="B20" s="15">
        <v>11544410</v>
      </c>
      <c r="C20" s="15">
        <v>11630330</v>
      </c>
      <c r="D20" s="15">
        <v>11444410</v>
      </c>
      <c r="E20" s="15">
        <v>226878</v>
      </c>
      <c r="F20" s="15">
        <v>19891968</v>
      </c>
      <c r="G20" s="15">
        <v>11879381</v>
      </c>
      <c r="H20" s="19">
        <f t="shared" si="1"/>
        <v>-0.71035284467422677</v>
      </c>
      <c r="I20" s="19">
        <f t="shared" si="2"/>
        <v>0.99261241942404044</v>
      </c>
      <c r="J20" s="19">
        <f t="shared" si="3"/>
        <v>0.98401421111868714</v>
      </c>
      <c r="K20" s="19">
        <f t="shared" si="4"/>
        <v>1.1405507991969422E-2</v>
      </c>
      <c r="L20" s="19">
        <f t="shared" si="5"/>
        <v>1.0214139237665656</v>
      </c>
      <c r="M20" s="17">
        <f t="shared" si="0"/>
        <v>4.8117166849142325</v>
      </c>
    </row>
    <row r="21" spans="1:13" ht="15.75" thickBot="1" x14ac:dyDescent="0.3">
      <c r="A21" s="15">
        <v>-225852</v>
      </c>
      <c r="B21" s="15">
        <v>1566182</v>
      </c>
      <c r="C21" s="15">
        <v>19721372</v>
      </c>
      <c r="D21" s="15">
        <v>1466182</v>
      </c>
      <c r="E21" s="15">
        <v>478732</v>
      </c>
      <c r="F21" s="15">
        <v>19947224</v>
      </c>
      <c r="G21" s="15">
        <v>2268761</v>
      </c>
      <c r="H21" s="19">
        <v>0</v>
      </c>
      <c r="I21" s="19">
        <v>0.33661250202237514</v>
      </c>
      <c r="J21" s="19">
        <v>0.60564892506834123</v>
      </c>
      <c r="K21" s="19">
        <v>3.406690508089489E-2</v>
      </c>
      <c r="L21" s="19">
        <v>0.50016106245707226</v>
      </c>
      <c r="M21" s="17">
        <f t="shared" si="0"/>
        <v>2.9900000000000029</v>
      </c>
    </row>
  </sheetData>
  <autoFilter ref="A1:M21">
    <filterColumn colId="12">
      <customFilters>
        <customFilter operator="lessThan" val="1.81"/>
        <customFilter operator="lessThan" val="2.99"/>
      </custom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1"/>
  <sheetViews>
    <sheetView showGridLines="0" workbookViewId="0">
      <selection sqref="A1:M21"/>
    </sheetView>
  </sheetViews>
  <sheetFormatPr baseColWidth="10" defaultRowHeight="15" x14ac:dyDescent="0.25"/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6" t="s">
        <v>15</v>
      </c>
    </row>
    <row r="2" spans="1:13" ht="15.75" thickBot="1" x14ac:dyDescent="0.3">
      <c r="A2" s="15">
        <v>-6311341</v>
      </c>
      <c r="B2" s="15">
        <v>12219821</v>
      </c>
      <c r="C2" s="15">
        <v>14950608</v>
      </c>
      <c r="D2" s="15">
        <v>12119821</v>
      </c>
      <c r="E2" s="15">
        <v>263374</v>
      </c>
      <c r="F2" s="15">
        <v>21261949</v>
      </c>
      <c r="G2" s="15">
        <v>12774705</v>
      </c>
      <c r="H2" s="19">
        <f>ratio(A2,C2)</f>
        <v>-0.42214610937561869</v>
      </c>
      <c r="I2" s="19">
        <f>ratio(B2,C2)</f>
        <v>0.8173460905402643</v>
      </c>
      <c r="J2" s="19">
        <f>ratio(D2,C2)</f>
        <v>0.81065739935125047</v>
      </c>
      <c r="K2" s="19">
        <f>ratio(E2,F2)</f>
        <v>1.2387105246090093E-2</v>
      </c>
      <c r="L2" s="19">
        <f>ratio(G2,C2)</f>
        <v>0.85446056775751189</v>
      </c>
      <c r="M2" s="17">
        <f>SCore_Altman(H2,I2,J2,K2,L2)</f>
        <v>4.1739169837021626</v>
      </c>
    </row>
    <row r="3" spans="1:13" ht="15.75" thickBot="1" x14ac:dyDescent="0.3">
      <c r="A3" s="15">
        <v>8695609</v>
      </c>
      <c r="B3" s="15">
        <v>5934684</v>
      </c>
      <c r="C3" s="15">
        <v>21803518</v>
      </c>
      <c r="D3" s="15">
        <v>5834684</v>
      </c>
      <c r="E3" s="15">
        <v>478604</v>
      </c>
      <c r="F3" s="15">
        <v>13107909</v>
      </c>
      <c r="G3" s="15">
        <v>6794410</v>
      </c>
      <c r="H3" s="19">
        <f t="shared" ref="H3:H21" si="0">ratio(A3,C3)</f>
        <v>0.39881678727258602</v>
      </c>
      <c r="I3" s="19">
        <f t="shared" ref="I3:I21" si="1">ratio(B3,C3)</f>
        <v>0.27218928615097804</v>
      </c>
      <c r="J3" s="19">
        <f t="shared" ref="J3:J21" si="2">ratio(D3,C3)</f>
        <v>0.26760287032578872</v>
      </c>
      <c r="K3" s="19">
        <f t="shared" ref="K3:K21" si="3">ratio(E3,F3)</f>
        <v>3.6512612347247758E-2</v>
      </c>
      <c r="L3" s="19">
        <f t="shared" ref="L3:L21" si="4">ratio(G3,C3)</f>
        <v>0.31161989546824509</v>
      </c>
      <c r="M3" s="17">
        <f t="shared" ref="M3:M21" si="5">SCore_Altman(H3,I3,J3,K3,L3)</f>
        <v>2.0759504603947003</v>
      </c>
    </row>
    <row r="4" spans="1:13" ht="15.75" thickBot="1" x14ac:dyDescent="0.3">
      <c r="A4" s="15">
        <v>11842621</v>
      </c>
      <c r="B4" s="15">
        <v>5946111</v>
      </c>
      <c r="C4" s="15">
        <v>23514900</v>
      </c>
      <c r="D4" s="15">
        <v>5846111</v>
      </c>
      <c r="E4" s="15">
        <v>445298</v>
      </c>
      <c r="F4" s="15">
        <v>11672279</v>
      </c>
      <c r="G4" s="15">
        <v>6142666</v>
      </c>
      <c r="H4" s="19">
        <f t="shared" si="0"/>
        <v>0.50362200136934454</v>
      </c>
      <c r="I4" s="19">
        <f t="shared" si="1"/>
        <v>0.25286567240345481</v>
      </c>
      <c r="J4" s="19">
        <f t="shared" si="2"/>
        <v>0.24861304959833977</v>
      </c>
      <c r="K4" s="19">
        <f t="shared" si="3"/>
        <v>3.8150047647079036E-2</v>
      </c>
      <c r="L4" s="19">
        <f t="shared" si="4"/>
        <v>0.26122441515804873</v>
      </c>
      <c r="M4" s="17">
        <f t="shared" si="5"/>
        <v>2.0626346260137094</v>
      </c>
    </row>
    <row r="5" spans="1:13" ht="15.75" thickBot="1" x14ac:dyDescent="0.3">
      <c r="A5" s="15">
        <v>4948429</v>
      </c>
      <c r="B5" s="15">
        <v>6452618</v>
      </c>
      <c r="C5" s="15">
        <v>23486157</v>
      </c>
      <c r="D5" s="15">
        <v>6352618</v>
      </c>
      <c r="E5" s="15">
        <v>323819</v>
      </c>
      <c r="F5" s="15">
        <v>18537728</v>
      </c>
      <c r="G5" s="15">
        <v>6902284</v>
      </c>
      <c r="H5" s="19">
        <f t="shared" si="0"/>
        <v>0.21069555994196923</v>
      </c>
      <c r="I5" s="19">
        <f t="shared" si="1"/>
        <v>0.27474132954148267</v>
      </c>
      <c r="J5" s="19">
        <f t="shared" si="2"/>
        <v>0.27048350226050177</v>
      </c>
      <c r="K5" s="19">
        <f t="shared" si="3"/>
        <v>1.7468106123900404E-2</v>
      </c>
      <c r="L5" s="19">
        <f t="shared" si="4"/>
        <v>0.29388733116277815</v>
      </c>
      <c r="M5" s="17">
        <f t="shared" si="5"/>
        <v>1.8341423982540503</v>
      </c>
    </row>
    <row r="6" spans="1:13" ht="15.75" thickBot="1" x14ac:dyDescent="0.3">
      <c r="A6" s="15">
        <v>-1437436</v>
      </c>
      <c r="B6" s="15">
        <v>9825695</v>
      </c>
      <c r="C6" s="15">
        <v>23468782</v>
      </c>
      <c r="D6" s="15">
        <v>9725695</v>
      </c>
      <c r="E6" s="15">
        <v>182774</v>
      </c>
      <c r="F6" s="15">
        <v>24906218</v>
      </c>
      <c r="G6" s="15">
        <v>9941860</v>
      </c>
      <c r="H6" s="19">
        <f t="shared" si="0"/>
        <v>-6.1248853903027436E-2</v>
      </c>
      <c r="I6" s="19">
        <f t="shared" si="1"/>
        <v>0.41867085390285702</v>
      </c>
      <c r="J6" s="19">
        <f t="shared" si="2"/>
        <v>0.41440987435990501</v>
      </c>
      <c r="K6" s="19">
        <f t="shared" si="3"/>
        <v>7.3384887259880247E-3</v>
      </c>
      <c r="L6" s="19">
        <f t="shared" si="4"/>
        <v>0.4236206207889272</v>
      </c>
      <c r="M6" s="17">
        <f t="shared" si="5"/>
        <v>2.3077932495717843</v>
      </c>
    </row>
    <row r="7" spans="1:13" ht="15.75" thickBot="1" x14ac:dyDescent="0.3">
      <c r="A7" s="15">
        <v>2658190</v>
      </c>
      <c r="B7" s="15">
        <v>5882746</v>
      </c>
      <c r="C7" s="15">
        <v>24548838</v>
      </c>
      <c r="D7" s="15">
        <v>5782746</v>
      </c>
      <c r="E7" s="15">
        <v>189074</v>
      </c>
      <c r="F7" s="15">
        <v>21890648</v>
      </c>
      <c r="G7" s="15">
        <v>6665520</v>
      </c>
      <c r="H7" s="19">
        <f t="shared" si="0"/>
        <v>0.10828170359835361</v>
      </c>
      <c r="I7" s="19">
        <f t="shared" si="1"/>
        <v>0.23963439735925587</v>
      </c>
      <c r="J7" s="19">
        <f t="shared" si="2"/>
        <v>0.23556088479625797</v>
      </c>
      <c r="K7" s="19">
        <f t="shared" si="3"/>
        <v>8.6372043440651001E-3</v>
      </c>
      <c r="L7" s="19">
        <f t="shared" si="4"/>
        <v>0.27152079458913697</v>
      </c>
      <c r="M7" s="17">
        <f t="shared" si="5"/>
        <v>1.5192087168496207</v>
      </c>
    </row>
    <row r="8" spans="1:13" ht="15.75" thickBot="1" x14ac:dyDescent="0.3">
      <c r="A8" s="15">
        <v>-3107811</v>
      </c>
      <c r="B8" s="15">
        <v>13189767</v>
      </c>
      <c r="C8" s="15">
        <v>15253511</v>
      </c>
      <c r="D8" s="15">
        <v>13089767</v>
      </c>
      <c r="E8" s="15">
        <v>215518</v>
      </c>
      <c r="F8" s="15">
        <v>18361322</v>
      </c>
      <c r="G8" s="15">
        <v>14021906</v>
      </c>
      <c r="H8" s="19">
        <f t="shared" si="0"/>
        <v>-0.20374397737019365</v>
      </c>
      <c r="I8" s="19">
        <f t="shared" si="1"/>
        <v>0.86470367379680657</v>
      </c>
      <c r="J8" s="19">
        <f t="shared" si="2"/>
        <v>0.8581478061018214</v>
      </c>
      <c r="K8" s="19">
        <f t="shared" si="3"/>
        <v>1.1737608000121124E-2</v>
      </c>
      <c r="L8" s="19">
        <f t="shared" si="4"/>
        <v>0.91925760567517867</v>
      </c>
      <c r="M8" s="17">
        <f t="shared" si="5"/>
        <v>4.7233610434768831</v>
      </c>
    </row>
    <row r="9" spans="1:13" ht="15.75" thickBot="1" x14ac:dyDescent="0.3">
      <c r="A9" s="15">
        <v>-3924307</v>
      </c>
      <c r="B9" s="15">
        <v>2011386</v>
      </c>
      <c r="C9" s="15">
        <v>20764602</v>
      </c>
      <c r="D9" s="15">
        <v>1911386</v>
      </c>
      <c r="E9" s="15">
        <v>231851</v>
      </c>
      <c r="F9" s="15">
        <v>24688909</v>
      </c>
      <c r="G9" s="15">
        <v>2140499</v>
      </c>
      <c r="H9" s="19">
        <f t="shared" si="0"/>
        <v>-0.18899023443839666</v>
      </c>
      <c r="I9" s="19">
        <f t="shared" si="1"/>
        <v>9.6866099335783079E-2</v>
      </c>
      <c r="J9" s="19">
        <f t="shared" si="2"/>
        <v>9.2050211220036871E-2</v>
      </c>
      <c r="K9" s="19">
        <f t="shared" si="3"/>
        <v>9.3908969408085224E-3</v>
      </c>
      <c r="L9" s="19">
        <f t="shared" si="4"/>
        <v>0.10308403695866648</v>
      </c>
      <c r="M9" s="17">
        <f t="shared" si="5"/>
        <v>0.32120544585633493</v>
      </c>
    </row>
    <row r="10" spans="1:13" ht="15.75" thickBot="1" x14ac:dyDescent="0.3">
      <c r="A10" s="15">
        <v>-299386</v>
      </c>
      <c r="B10" s="15">
        <v>9935835</v>
      </c>
      <c r="C10" s="15">
        <v>16359826</v>
      </c>
      <c r="D10" s="15">
        <v>9835835</v>
      </c>
      <c r="E10" s="15">
        <v>113945</v>
      </c>
      <c r="F10" s="15">
        <v>16659212</v>
      </c>
      <c r="G10" s="15">
        <v>10043809</v>
      </c>
      <c r="H10" s="19">
        <f t="shared" si="0"/>
        <v>-1.8300072384632941E-2</v>
      </c>
      <c r="I10" s="19">
        <f t="shared" si="1"/>
        <v>0.60733133714258325</v>
      </c>
      <c r="J10" s="19">
        <f t="shared" si="2"/>
        <v>0.60121880269386729</v>
      </c>
      <c r="K10" s="19">
        <f t="shared" si="3"/>
        <v>6.8397592875341284E-3</v>
      </c>
      <c r="L10" s="19">
        <f t="shared" si="4"/>
        <v>0.61393128508823991</v>
      </c>
      <c r="M10" s="17">
        <f t="shared" si="5"/>
        <v>3.4297470434034909</v>
      </c>
    </row>
    <row r="11" spans="1:13" ht="15.75" thickBot="1" x14ac:dyDescent="0.3">
      <c r="A11" s="15">
        <v>3215388</v>
      </c>
      <c r="B11" s="15">
        <v>10563993</v>
      </c>
      <c r="C11" s="15">
        <v>22907859</v>
      </c>
      <c r="D11" s="15">
        <v>10463993</v>
      </c>
      <c r="E11" s="15">
        <v>160618</v>
      </c>
      <c r="F11" s="15">
        <v>19692471</v>
      </c>
      <c r="G11" s="15">
        <v>11242611</v>
      </c>
      <c r="H11" s="19">
        <f t="shared" si="0"/>
        <v>0.1403617858831766</v>
      </c>
      <c r="I11" s="19">
        <f t="shared" si="1"/>
        <v>0.46115147644308446</v>
      </c>
      <c r="J11" s="19">
        <f t="shared" si="2"/>
        <v>0.45678616233843589</v>
      </c>
      <c r="K11" s="19">
        <f t="shared" si="3"/>
        <v>8.1563151724331606E-3</v>
      </c>
      <c r="L11" s="19">
        <f t="shared" si="4"/>
        <v>0.49077528371376827</v>
      </c>
      <c r="M11" s="17">
        <f t="shared" si="5"/>
        <v>2.8166188433304828</v>
      </c>
    </row>
    <row r="12" spans="1:13" ht="15.75" thickBot="1" x14ac:dyDescent="0.3">
      <c r="A12" s="15">
        <v>-1382090</v>
      </c>
      <c r="B12" s="15">
        <v>11377713</v>
      </c>
      <c r="C12" s="15">
        <v>19613743</v>
      </c>
      <c r="D12" s="15">
        <v>11277713</v>
      </c>
      <c r="E12" s="15">
        <v>436345</v>
      </c>
      <c r="F12" s="15">
        <v>20995833</v>
      </c>
      <c r="G12" s="15">
        <v>11890815</v>
      </c>
      <c r="H12" s="19">
        <f t="shared" si="0"/>
        <v>-7.0465387458171547E-2</v>
      </c>
      <c r="I12" s="19">
        <f t="shared" si="1"/>
        <v>0.58008881833518466</v>
      </c>
      <c r="J12" s="19">
        <f t="shared" si="2"/>
        <v>0.57499035242788687</v>
      </c>
      <c r="K12" s="19">
        <f t="shared" si="3"/>
        <v>2.0782457166619681E-2</v>
      </c>
      <c r="L12" s="19">
        <f t="shared" si="4"/>
        <v>0.6062491488748476</v>
      </c>
      <c r="M12" s="17">
        <f t="shared" si="5"/>
        <v>3.2431464177574241</v>
      </c>
    </row>
    <row r="13" spans="1:13" ht="15.75" thickBot="1" x14ac:dyDescent="0.3">
      <c r="A13" s="15">
        <v>-5527357</v>
      </c>
      <c r="B13" s="15">
        <v>2634310</v>
      </c>
      <c r="C13" s="15">
        <v>17167143</v>
      </c>
      <c r="D13" s="15">
        <v>2534310</v>
      </c>
      <c r="E13" s="15">
        <v>225513</v>
      </c>
      <c r="F13" s="15">
        <v>22694500</v>
      </c>
      <c r="G13" s="15">
        <v>3438036</v>
      </c>
      <c r="H13" s="19">
        <f t="shared" si="0"/>
        <v>-0.32197302719503179</v>
      </c>
      <c r="I13" s="19">
        <f t="shared" si="1"/>
        <v>0.15345069357201718</v>
      </c>
      <c r="J13" s="19">
        <f t="shared" si="2"/>
        <v>0.14762561248543221</v>
      </c>
      <c r="K13" s="19">
        <f t="shared" si="3"/>
        <v>9.9369010112582336E-3</v>
      </c>
      <c r="L13" s="19">
        <f t="shared" si="4"/>
        <v>0.20026838478598333</v>
      </c>
      <c r="M13" s="17">
        <f t="shared" si="5"/>
        <v>0.5216581165766645</v>
      </c>
    </row>
    <row r="14" spans="1:13" ht="15.75" thickBot="1" x14ac:dyDescent="0.3">
      <c r="A14" s="15">
        <v>8428979</v>
      </c>
      <c r="B14" s="15">
        <v>5310524</v>
      </c>
      <c r="C14" s="15">
        <v>18437602</v>
      </c>
      <c r="D14" s="15">
        <v>5210524</v>
      </c>
      <c r="E14" s="15">
        <v>184084</v>
      </c>
      <c r="F14" s="15">
        <v>10008623</v>
      </c>
      <c r="G14" s="15">
        <v>5946934</v>
      </c>
      <c r="H14" s="19">
        <f t="shared" si="0"/>
        <v>0.45716243359629954</v>
      </c>
      <c r="I14" s="19">
        <f t="shared" si="1"/>
        <v>0.28802682691599485</v>
      </c>
      <c r="J14" s="19">
        <f t="shared" si="2"/>
        <v>0.28260312810744043</v>
      </c>
      <c r="K14" s="19">
        <f t="shared" si="3"/>
        <v>1.8392540112660852E-2</v>
      </c>
      <c r="L14" s="19">
        <f t="shared" si="4"/>
        <v>0.32254378850351578</v>
      </c>
      <c r="M14" s="17">
        <f t="shared" si="5"/>
        <v>2.2176795695351141</v>
      </c>
    </row>
    <row r="15" spans="1:13" ht="15.75" thickBot="1" x14ac:dyDescent="0.3">
      <c r="A15" s="15">
        <v>8631307</v>
      </c>
      <c r="B15" s="15">
        <v>4043264</v>
      </c>
      <c r="C15" s="15">
        <v>20863713</v>
      </c>
      <c r="D15" s="15">
        <v>3943264</v>
      </c>
      <c r="E15" s="15">
        <v>216505</v>
      </c>
      <c r="F15" s="15">
        <v>12232406</v>
      </c>
      <c r="G15" s="15">
        <v>5041157</v>
      </c>
      <c r="H15" s="19">
        <f t="shared" si="0"/>
        <v>0.41369946950478087</v>
      </c>
      <c r="I15" s="19">
        <f t="shared" si="1"/>
        <v>0.19379407682611433</v>
      </c>
      <c r="J15" s="19">
        <f t="shared" si="2"/>
        <v>0.18900106610937373</v>
      </c>
      <c r="K15" s="19">
        <f t="shared" si="3"/>
        <v>1.7699298077581794E-2</v>
      </c>
      <c r="L15" s="19">
        <f t="shared" si="4"/>
        <v>0.2416231952577185</v>
      </c>
      <c r="M15" s="17">
        <f t="shared" si="5"/>
        <v>1.64345574003224</v>
      </c>
    </row>
    <row r="16" spans="1:13" ht="15.75" thickBot="1" x14ac:dyDescent="0.3">
      <c r="A16" s="15">
        <v>-2713308</v>
      </c>
      <c r="B16" s="15">
        <v>7931167</v>
      </c>
      <c r="C16" s="15">
        <v>10681783</v>
      </c>
      <c r="D16" s="15">
        <v>7831167</v>
      </c>
      <c r="E16" s="15">
        <v>434862</v>
      </c>
      <c r="F16" s="15">
        <v>13395091</v>
      </c>
      <c r="G16" s="15">
        <v>8042661</v>
      </c>
      <c r="H16" s="19">
        <f t="shared" si="0"/>
        <v>-0.2540126493863431</v>
      </c>
      <c r="I16" s="19">
        <f t="shared" si="1"/>
        <v>0.74249467528033475</v>
      </c>
      <c r="J16" s="19">
        <f t="shared" si="2"/>
        <v>0.73313294231871218</v>
      </c>
      <c r="K16" s="19">
        <f t="shared" si="3"/>
        <v>3.2464281131050175E-2</v>
      </c>
      <c r="L16" s="19">
        <f t="shared" si="4"/>
        <v>0.75293244582856622</v>
      </c>
      <c r="M16" s="17">
        <f t="shared" si="5"/>
        <v>3.9256741578419749</v>
      </c>
    </row>
    <row r="17" spans="1:13" ht="15.75" thickBot="1" x14ac:dyDescent="0.3">
      <c r="A17" s="15">
        <v>-9895761</v>
      </c>
      <c r="B17" s="15">
        <v>14437013</v>
      </c>
      <c r="C17" s="15">
        <v>12930169</v>
      </c>
      <c r="D17" s="15">
        <v>14337013</v>
      </c>
      <c r="E17" s="15">
        <v>351564</v>
      </c>
      <c r="F17" s="15">
        <v>22825930</v>
      </c>
      <c r="G17" s="15">
        <v>14865971</v>
      </c>
      <c r="H17" s="19">
        <f t="shared" si="0"/>
        <v>-0.76532340760588669</v>
      </c>
      <c r="I17" s="19">
        <f t="shared" si="1"/>
        <v>1.1165370692370689</v>
      </c>
      <c r="J17" s="19">
        <f t="shared" si="2"/>
        <v>1.1088032182719345</v>
      </c>
      <c r="K17" s="19">
        <f t="shared" si="3"/>
        <v>1.5401957335363772E-2</v>
      </c>
      <c r="L17" s="19">
        <f t="shared" si="4"/>
        <v>1.1497120416600897</v>
      </c>
      <c r="M17" s="17">
        <f t="shared" si="5"/>
        <v>5.4616179321218636</v>
      </c>
    </row>
    <row r="18" spans="1:13" ht="15.75" thickBot="1" x14ac:dyDescent="0.3">
      <c r="A18" s="15">
        <v>4022732</v>
      </c>
      <c r="B18" s="15">
        <v>11162302</v>
      </c>
      <c r="C18" s="15">
        <v>20967235</v>
      </c>
      <c r="D18" s="15">
        <v>11062302</v>
      </c>
      <c r="E18" s="15">
        <v>110548</v>
      </c>
      <c r="F18" s="15">
        <v>16944503</v>
      </c>
      <c r="G18" s="15">
        <v>11673279</v>
      </c>
      <c r="H18" s="19">
        <f t="shared" si="0"/>
        <v>0.19185801084406218</v>
      </c>
      <c r="I18" s="19">
        <f t="shared" si="1"/>
        <v>0.53236881257829183</v>
      </c>
      <c r="J18" s="19">
        <f t="shared" si="2"/>
        <v>0.5275994665009478</v>
      </c>
      <c r="K18" s="19">
        <f t="shared" si="3"/>
        <v>6.5241217166416739E-3</v>
      </c>
      <c r="L18" s="19">
        <f t="shared" si="4"/>
        <v>0.55673907408392187</v>
      </c>
      <c r="M18" s="17">
        <f t="shared" si="5"/>
        <v>3.2767209981154335</v>
      </c>
    </row>
    <row r="19" spans="1:13" ht="15.75" thickBot="1" x14ac:dyDescent="0.3">
      <c r="A19" s="15">
        <v>-6873012</v>
      </c>
      <c r="B19" s="15">
        <v>1468236</v>
      </c>
      <c r="C19" s="15">
        <v>16714157</v>
      </c>
      <c r="D19" s="15">
        <v>1368236</v>
      </c>
      <c r="E19" s="15">
        <v>103916</v>
      </c>
      <c r="F19" s="15">
        <v>23587169</v>
      </c>
      <c r="G19" s="15">
        <v>1876747</v>
      </c>
      <c r="H19" s="19">
        <f t="shared" si="0"/>
        <v>-0.41120901281470551</v>
      </c>
      <c r="I19" s="19">
        <f t="shared" si="1"/>
        <v>8.7843855959950604E-2</v>
      </c>
      <c r="J19" s="19">
        <f t="shared" si="2"/>
        <v>8.1860903903200138E-2</v>
      </c>
      <c r="K19" s="19">
        <f t="shared" si="3"/>
        <v>4.4056156124543814E-3</v>
      </c>
      <c r="L19" s="19">
        <f t="shared" si="4"/>
        <v>0.11228487323650245</v>
      </c>
      <c r="M19" s="17">
        <f t="shared" si="5"/>
        <v>1.4487523577583289E-2</v>
      </c>
    </row>
    <row r="20" spans="1:13" ht="15.75" thickBot="1" x14ac:dyDescent="0.3">
      <c r="A20" s="15">
        <v>-8261638</v>
      </c>
      <c r="B20" s="15">
        <v>11544410</v>
      </c>
      <c r="C20" s="15">
        <v>11630330</v>
      </c>
      <c r="D20" s="15">
        <v>11444410</v>
      </c>
      <c r="E20" s="15">
        <v>226878</v>
      </c>
      <c r="F20" s="15">
        <v>19891968</v>
      </c>
      <c r="G20" s="15">
        <v>11879381</v>
      </c>
      <c r="H20" s="19">
        <f t="shared" si="0"/>
        <v>-0.71035284467422677</v>
      </c>
      <c r="I20" s="19">
        <f t="shared" si="1"/>
        <v>0.99261241942404044</v>
      </c>
      <c r="J20" s="19">
        <f t="shared" si="2"/>
        <v>0.98401421111868714</v>
      </c>
      <c r="K20" s="19">
        <f t="shared" si="3"/>
        <v>1.1405507991969422E-2</v>
      </c>
      <c r="L20" s="19">
        <f t="shared" si="4"/>
        <v>1.0214139237665656</v>
      </c>
      <c r="M20" s="17">
        <f t="shared" si="5"/>
        <v>4.8117166849142325</v>
      </c>
    </row>
    <row r="21" spans="1:13" ht="15.75" thickBot="1" x14ac:dyDescent="0.3">
      <c r="A21" s="15">
        <v>-225852</v>
      </c>
      <c r="B21" s="15">
        <v>1566182</v>
      </c>
      <c r="C21" s="15">
        <v>19721372</v>
      </c>
      <c r="D21" s="15">
        <v>1466182</v>
      </c>
      <c r="E21" s="15">
        <v>478732</v>
      </c>
      <c r="F21" s="15">
        <v>19947224</v>
      </c>
      <c r="G21" s="15">
        <v>2268761</v>
      </c>
      <c r="H21" s="19">
        <f t="shared" si="0"/>
        <v>-1.1452144404557654E-2</v>
      </c>
      <c r="I21" s="19">
        <f t="shared" si="1"/>
        <v>7.9415468660091193E-2</v>
      </c>
      <c r="J21" s="19">
        <f t="shared" si="2"/>
        <v>7.4344827530254995E-2</v>
      </c>
      <c r="K21" s="19">
        <f t="shared" si="3"/>
        <v>2.3999931017970221E-2</v>
      </c>
      <c r="L21" s="19">
        <f t="shared" si="4"/>
        <v>0.11504072840368307</v>
      </c>
      <c r="M21" s="17">
        <f t="shared" si="5"/>
        <v>0.47210265997456147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 filterMode="1"/>
  <dimension ref="A1:M21"/>
  <sheetViews>
    <sheetView showGridLines="0" workbookViewId="0">
      <selection activeCell="M22" sqref="M22"/>
    </sheetView>
  </sheetViews>
  <sheetFormatPr baseColWidth="10" defaultRowHeight="15" x14ac:dyDescent="0.25"/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6" t="s">
        <v>16</v>
      </c>
    </row>
    <row r="2" spans="1:13" ht="15.75" thickBot="1" x14ac:dyDescent="0.3">
      <c r="A2" s="15">
        <v>-2952448</v>
      </c>
      <c r="B2" s="15">
        <v>6526653</v>
      </c>
      <c r="C2" s="15">
        <v>17329098</v>
      </c>
      <c r="D2" s="15">
        <v>6426653</v>
      </c>
      <c r="E2" s="15">
        <v>295961</v>
      </c>
      <c r="F2" s="15">
        <v>20281546</v>
      </c>
      <c r="G2" s="15">
        <v>7420602</v>
      </c>
      <c r="H2" s="19">
        <v>0</v>
      </c>
      <c r="I2" s="19">
        <v>0.4579706878829175</v>
      </c>
      <c r="J2" s="19">
        <v>0.55676103691818091</v>
      </c>
      <c r="K2" s="19">
        <v>1.464495760282002E-2</v>
      </c>
      <c r="L2" s="19">
        <v>0.50324787165380414</v>
      </c>
      <c r="M2" s="17">
        <f>SCore_Altman(H2,I2,J2,K2,L2)</f>
        <v>2.9900019832099236</v>
      </c>
    </row>
    <row r="3" spans="1:13" ht="15.75" thickBot="1" x14ac:dyDescent="0.3">
      <c r="A3" s="15">
        <v>1543361</v>
      </c>
      <c r="B3" s="15">
        <v>6638859</v>
      </c>
      <c r="C3" s="15">
        <v>21352018</v>
      </c>
      <c r="D3" s="15">
        <v>6538859</v>
      </c>
      <c r="E3" s="15">
        <v>223577</v>
      </c>
      <c r="F3" s="15">
        <v>19808657</v>
      </c>
      <c r="G3" s="15">
        <v>7089111</v>
      </c>
      <c r="H3" s="19">
        <v>7.7562805218569675E-2</v>
      </c>
      <c r="I3" s="19">
        <v>0.42492822857463652</v>
      </c>
      <c r="J3" s="19">
        <v>0.56693006980911231</v>
      </c>
      <c r="K3" s="19">
        <v>1.1351216918372478E-2</v>
      </c>
      <c r="L3" s="19">
        <v>0.42476992313522827</v>
      </c>
      <c r="M3" s="17">
        <f>SCore_Altman(H3,I3,J3,K3,L3)</f>
        <v>2.9899999999999616</v>
      </c>
    </row>
    <row r="4" spans="1:13" ht="15.75" thickBot="1" x14ac:dyDescent="0.3">
      <c r="A4" s="15">
        <v>-5243746</v>
      </c>
      <c r="B4" s="15">
        <v>9332375</v>
      </c>
      <c r="C4" s="15">
        <v>19695101</v>
      </c>
      <c r="D4" s="15">
        <v>9232375</v>
      </c>
      <c r="E4" s="15">
        <v>494116</v>
      </c>
      <c r="F4" s="15">
        <v>24938847</v>
      </c>
      <c r="G4" s="15">
        <v>9470754</v>
      </c>
      <c r="H4" s="19">
        <v>0</v>
      </c>
      <c r="I4" s="19">
        <v>0.50332967052519961</v>
      </c>
      <c r="J4" s="19">
        <v>0.53678905803957577</v>
      </c>
      <c r="K4" s="19">
        <v>1.9835200240752335E-2</v>
      </c>
      <c r="L4" s="19">
        <v>0.5025383710448732</v>
      </c>
      <c r="M4" s="17">
        <f t="shared" ref="M4:M21" si="0">SCore_Altman(H4,I4,J4,K4,L4)</f>
        <v>2.9900023830841587</v>
      </c>
    </row>
    <row r="5" spans="1:13" ht="15.75" thickBot="1" x14ac:dyDescent="0.3">
      <c r="A5" s="15">
        <v>-10634262</v>
      </c>
      <c r="B5" s="15">
        <v>6572345</v>
      </c>
      <c r="C5" s="15">
        <v>12962398</v>
      </c>
      <c r="D5" s="15">
        <v>6472345</v>
      </c>
      <c r="E5" s="15">
        <v>274535</v>
      </c>
      <c r="F5" s="15">
        <v>23596660</v>
      </c>
      <c r="G5" s="15">
        <v>7083771</v>
      </c>
      <c r="H5" s="19">
        <v>1.4310463598080402E-2</v>
      </c>
      <c r="I5" s="19">
        <v>0.51340871678594091</v>
      </c>
      <c r="J5" s="19">
        <v>0.51389484873220082</v>
      </c>
      <c r="K5" s="19">
        <v>1.1635924602558911E-2</v>
      </c>
      <c r="L5" s="19">
        <v>0.55177245706128419</v>
      </c>
      <c r="M5" s="17">
        <f t="shared" si="0"/>
        <v>2.9900000000000349</v>
      </c>
    </row>
    <row r="6" spans="1:13" ht="15.75" hidden="1" thickBot="1" x14ac:dyDescent="0.3">
      <c r="A6" s="15">
        <v>5675282</v>
      </c>
      <c r="B6" s="15">
        <v>8399156</v>
      </c>
      <c r="C6" s="15">
        <v>17984770</v>
      </c>
      <c r="D6" s="15">
        <v>8299156</v>
      </c>
      <c r="E6" s="15">
        <v>464276</v>
      </c>
      <c r="F6" s="15">
        <v>12309488</v>
      </c>
      <c r="G6" s="15">
        <v>8596679</v>
      </c>
      <c r="H6" s="19">
        <f t="shared" ref="H6:H17" si="1">ratio(A6,C6)</f>
        <v>0.31556044364203711</v>
      </c>
      <c r="I6" s="19">
        <f t="shared" ref="I6:I17" si="2">ratio(B6,C6)</f>
        <v>0.46701492429427788</v>
      </c>
      <c r="J6" s="19">
        <f t="shared" ref="J6:J17" si="3">ratio(D6,C6)</f>
        <v>0.46145466414082581</v>
      </c>
      <c r="K6" s="19">
        <f t="shared" ref="K6:K17" si="4">ratio(E6,F6)</f>
        <v>3.7716922101065455E-2</v>
      </c>
      <c r="L6" s="19">
        <f t="shared" ref="L6:L17" si="5">ratio(G6,C6)</f>
        <v>0.47799771695718102</v>
      </c>
      <c r="M6" s="17">
        <f t="shared" si="0"/>
        <v>3.0554436905480218</v>
      </c>
    </row>
    <row r="7" spans="1:13" ht="15.75" hidden="1" thickBot="1" x14ac:dyDescent="0.3">
      <c r="A7" s="15">
        <v>5912342</v>
      </c>
      <c r="B7" s="15">
        <v>13029767</v>
      </c>
      <c r="C7" s="15">
        <v>17336875</v>
      </c>
      <c r="D7" s="15">
        <v>12929767</v>
      </c>
      <c r="E7" s="15">
        <v>170608</v>
      </c>
      <c r="F7" s="15">
        <v>11424533</v>
      </c>
      <c r="G7" s="15">
        <v>13766054</v>
      </c>
      <c r="H7" s="19">
        <f t="shared" si="1"/>
        <v>0.34102697285410433</v>
      </c>
      <c r="I7" s="19">
        <f t="shared" si="2"/>
        <v>0.75156376221204801</v>
      </c>
      <c r="J7" s="19">
        <f t="shared" si="3"/>
        <v>0.74579571001117562</v>
      </c>
      <c r="K7" s="19">
        <f t="shared" si="4"/>
        <v>1.4933476930741939E-2</v>
      </c>
      <c r="L7" s="19">
        <f t="shared" si="5"/>
        <v>0.7940331807202855</v>
      </c>
      <c r="M7" s="17">
        <f t="shared" si="0"/>
        <v>4.7247467112566817</v>
      </c>
    </row>
    <row r="8" spans="1:13" ht="15.75" thickBot="1" x14ac:dyDescent="0.3">
      <c r="A8" s="15">
        <v>-1273462</v>
      </c>
      <c r="B8" s="15">
        <v>2532301</v>
      </c>
      <c r="C8" s="15">
        <v>14262889</v>
      </c>
      <c r="D8" s="15">
        <v>2432301</v>
      </c>
      <c r="E8" s="15">
        <v>302741</v>
      </c>
      <c r="F8" s="15">
        <v>15536351</v>
      </c>
      <c r="G8" s="15">
        <v>3461521</v>
      </c>
      <c r="H8" s="19">
        <v>0</v>
      </c>
      <c r="I8" s="19">
        <v>0.37171736389786153</v>
      </c>
      <c r="J8" s="19">
        <v>0.59279151624956206</v>
      </c>
      <c r="K8" s="19">
        <v>2.0488375909307268E-2</v>
      </c>
      <c r="L8" s="19">
        <v>0.50159225362746052</v>
      </c>
      <c r="M8" s="17">
        <f t="shared" si="0"/>
        <v>2.989999999999978</v>
      </c>
    </row>
    <row r="9" spans="1:13" ht="15.75" thickBot="1" x14ac:dyDescent="0.3">
      <c r="A9" s="15">
        <v>-2703333</v>
      </c>
      <c r="B9" s="15">
        <v>5781080</v>
      </c>
      <c r="C9" s="15">
        <v>13847753</v>
      </c>
      <c r="D9" s="15">
        <v>5681080</v>
      </c>
      <c r="E9" s="15">
        <v>144752</v>
      </c>
      <c r="F9" s="15">
        <v>16551086</v>
      </c>
      <c r="G9" s="15">
        <v>5983331</v>
      </c>
      <c r="H9" s="19">
        <v>0</v>
      </c>
      <c r="I9" s="19">
        <v>0.48101698011073107</v>
      </c>
      <c r="J9" s="19">
        <v>0.55489528553205658</v>
      </c>
      <c r="K9" s="19">
        <v>8.757722118732025E-3</v>
      </c>
      <c r="L9" s="19">
        <v>0.48064994319257315</v>
      </c>
      <c r="M9" s="17">
        <f t="shared" si="0"/>
        <v>2.9900021409314297</v>
      </c>
    </row>
    <row r="10" spans="1:13" ht="15.75" hidden="1" thickBot="1" x14ac:dyDescent="0.3">
      <c r="A10" s="15">
        <v>11531803</v>
      </c>
      <c r="B10" s="15">
        <v>13246470</v>
      </c>
      <c r="C10" s="15">
        <v>24683986</v>
      </c>
      <c r="D10" s="15">
        <v>13146470</v>
      </c>
      <c r="E10" s="15">
        <v>303524</v>
      </c>
      <c r="F10" s="15">
        <v>13152183</v>
      </c>
      <c r="G10" s="15">
        <v>13955952</v>
      </c>
      <c r="H10" s="19">
        <f t="shared" si="1"/>
        <v>0.46717750528622082</v>
      </c>
      <c r="I10" s="19">
        <f t="shared" si="2"/>
        <v>0.53664225866924409</v>
      </c>
      <c r="J10" s="19">
        <f t="shared" si="3"/>
        <v>0.53259104911176014</v>
      </c>
      <c r="K10" s="19">
        <f t="shared" si="4"/>
        <v>2.3077841906548897E-2</v>
      </c>
      <c r="L10" s="19">
        <f t="shared" si="5"/>
        <v>0.56538486126187237</v>
      </c>
      <c r="M10" s="17">
        <f t="shared" si="0"/>
        <v>3.6481288120937552</v>
      </c>
    </row>
    <row r="11" spans="1:13" ht="15.75" thickBot="1" x14ac:dyDescent="0.3">
      <c r="A11" s="15">
        <v>-127677</v>
      </c>
      <c r="B11" s="15">
        <v>4905012</v>
      </c>
      <c r="C11" s="15">
        <v>20800746</v>
      </c>
      <c r="D11" s="15">
        <v>4805012</v>
      </c>
      <c r="E11" s="15">
        <v>463601</v>
      </c>
      <c r="F11" s="15">
        <v>20928423</v>
      </c>
      <c r="G11" s="15">
        <v>5554072</v>
      </c>
      <c r="H11" s="19">
        <v>0</v>
      </c>
      <c r="I11" s="19">
        <v>0.40118506851265845</v>
      </c>
      <c r="J11" s="19">
        <v>0.60508342096456569</v>
      </c>
      <c r="K11" s="19">
        <v>2.2777184324762969E-2</v>
      </c>
      <c r="L11" s="19">
        <v>0.41831762192630012</v>
      </c>
      <c r="M11" s="17">
        <f t="shared" si="0"/>
        <v>2.9900000000000198</v>
      </c>
    </row>
    <row r="12" spans="1:13" ht="15.75" hidden="1" thickBot="1" x14ac:dyDescent="0.3">
      <c r="A12" s="15">
        <v>-1120625</v>
      </c>
      <c r="B12" s="15">
        <v>9730429</v>
      </c>
      <c r="C12" s="15">
        <v>12657304</v>
      </c>
      <c r="D12" s="15">
        <v>9630429</v>
      </c>
      <c r="E12" s="15">
        <v>416987</v>
      </c>
      <c r="F12" s="15">
        <v>13777929</v>
      </c>
      <c r="G12" s="15">
        <v>10256672</v>
      </c>
      <c r="H12" s="19">
        <f t="shared" si="1"/>
        <v>-8.8535836699505682E-2</v>
      </c>
      <c r="I12" s="19">
        <f t="shared" si="2"/>
        <v>0.76875999817970719</v>
      </c>
      <c r="J12" s="19">
        <f t="shared" si="3"/>
        <v>0.76085942156402342</v>
      </c>
      <c r="K12" s="19">
        <f t="shared" si="4"/>
        <v>3.0264853302698833E-2</v>
      </c>
      <c r="L12" s="19">
        <f t="shared" si="5"/>
        <v>0.81033622957937967</v>
      </c>
      <c r="M12" s="17">
        <f t="shared" si="0"/>
        <v>4.3085418899048795</v>
      </c>
    </row>
    <row r="13" spans="1:13" ht="15.75" thickBot="1" x14ac:dyDescent="0.3">
      <c r="A13" s="15">
        <v>2649626</v>
      </c>
      <c r="B13" s="15">
        <v>5619720</v>
      </c>
      <c r="C13" s="15">
        <v>16789369</v>
      </c>
      <c r="D13" s="15">
        <v>5519720</v>
      </c>
      <c r="E13" s="15">
        <v>158010</v>
      </c>
      <c r="F13" s="15">
        <v>14139743</v>
      </c>
      <c r="G13" s="15">
        <v>5972295</v>
      </c>
      <c r="H13" s="19">
        <v>0.17478412717932248</v>
      </c>
      <c r="I13" s="19">
        <v>0.42377196514211968</v>
      </c>
      <c r="J13" s="19">
        <v>0.53126945399263537</v>
      </c>
      <c r="K13" s="19">
        <v>1.1217424849375051E-2</v>
      </c>
      <c r="L13" s="19">
        <v>0.42748823630751054</v>
      </c>
      <c r="M13" s="17">
        <f t="shared" si="0"/>
        <v>2.9900021049706793</v>
      </c>
    </row>
    <row r="14" spans="1:13" ht="15.75" thickBot="1" x14ac:dyDescent="0.3">
      <c r="A14" s="15">
        <v>190510</v>
      </c>
      <c r="B14" s="15">
        <v>701461</v>
      </c>
      <c r="C14" s="15">
        <v>15147681</v>
      </c>
      <c r="D14" s="15">
        <v>601461</v>
      </c>
      <c r="E14" s="15">
        <v>117172</v>
      </c>
      <c r="F14" s="15">
        <v>14957171</v>
      </c>
      <c r="G14" s="15">
        <v>1071900</v>
      </c>
      <c r="H14" s="19">
        <v>3.1855343532074025E-2</v>
      </c>
      <c r="I14" s="19">
        <v>0.35123210684127748</v>
      </c>
      <c r="J14" s="19">
        <v>0.56813390139461517</v>
      </c>
      <c r="K14" s="19">
        <v>1.157363806350482E-2</v>
      </c>
      <c r="L14" s="19">
        <v>0.57884142216555168</v>
      </c>
      <c r="M14" s="17">
        <f t="shared" si="0"/>
        <v>2.9899999999999958</v>
      </c>
    </row>
    <row r="15" spans="1:13" ht="15.75" hidden="1" thickBot="1" x14ac:dyDescent="0.3">
      <c r="A15" s="15">
        <v>9346037</v>
      </c>
      <c r="B15" s="15">
        <v>13186318</v>
      </c>
      <c r="C15" s="15">
        <v>19394753</v>
      </c>
      <c r="D15" s="15">
        <v>13086318</v>
      </c>
      <c r="E15" s="15">
        <v>317675</v>
      </c>
      <c r="F15" s="15">
        <v>10048716</v>
      </c>
      <c r="G15" s="15">
        <v>13907812</v>
      </c>
      <c r="H15" s="19">
        <f t="shared" si="1"/>
        <v>0.48188481699148217</v>
      </c>
      <c r="I15" s="19">
        <f t="shared" si="2"/>
        <v>0.67989099938524611</v>
      </c>
      <c r="J15" s="19">
        <f t="shared" si="3"/>
        <v>0.674734965688916</v>
      </c>
      <c r="K15" s="19">
        <f t="shared" si="4"/>
        <v>3.1613491713767213E-2</v>
      </c>
      <c r="L15" s="19">
        <f t="shared" si="5"/>
        <v>0.71709147314224631</v>
      </c>
      <c r="M15" s="17">
        <f t="shared" si="0"/>
        <v>4.4920770429999104</v>
      </c>
    </row>
    <row r="16" spans="1:13" ht="15.75" thickBot="1" x14ac:dyDescent="0.3">
      <c r="A16" s="15">
        <v>-7959666</v>
      </c>
      <c r="B16" s="15">
        <v>8159588</v>
      </c>
      <c r="C16" s="15">
        <v>12550453</v>
      </c>
      <c r="D16" s="15">
        <v>8059588</v>
      </c>
      <c r="E16" s="15">
        <v>448773</v>
      </c>
      <c r="F16" s="15">
        <v>20510119</v>
      </c>
      <c r="G16" s="15">
        <v>8465488</v>
      </c>
      <c r="H16" s="19">
        <v>0</v>
      </c>
      <c r="I16" s="19">
        <v>0.57569636127329193</v>
      </c>
      <c r="J16" s="19">
        <v>0.47096878776291168</v>
      </c>
      <c r="K16" s="19">
        <v>2.1844427136300457E-2</v>
      </c>
      <c r="L16" s="19">
        <v>0.61733581884483468</v>
      </c>
      <c r="M16" s="17">
        <f t="shared" si="0"/>
        <v>2.9899970447079873</v>
      </c>
    </row>
    <row r="17" spans="1:13" ht="15.75" hidden="1" thickBot="1" x14ac:dyDescent="0.3">
      <c r="A17" s="15">
        <v>-12912119</v>
      </c>
      <c r="B17" s="15">
        <v>8507030</v>
      </c>
      <c r="C17" s="15">
        <v>11007748</v>
      </c>
      <c r="D17" s="15">
        <v>8407030</v>
      </c>
      <c r="E17" s="15">
        <v>481935</v>
      </c>
      <c r="F17" s="15">
        <v>23919867</v>
      </c>
      <c r="G17" s="15">
        <v>9227676</v>
      </c>
      <c r="H17" s="19">
        <f t="shared" si="1"/>
        <v>-1.173002779496769</v>
      </c>
      <c r="I17" s="19">
        <f t="shared" si="2"/>
        <v>0.77282201591097466</v>
      </c>
      <c r="J17" s="19">
        <f t="shared" si="3"/>
        <v>0.76373750561876963</v>
      </c>
      <c r="K17" s="19">
        <f t="shared" si="4"/>
        <v>2.0147896307282979E-2</v>
      </c>
      <c r="L17" s="19">
        <f t="shared" si="5"/>
        <v>0.83828917595133901</v>
      </c>
      <c r="M17" s="17">
        <f t="shared" si="0"/>
        <v>3.0442208799809389</v>
      </c>
    </row>
    <row r="18" spans="1:13" ht="15.75" thickBot="1" x14ac:dyDescent="0.3">
      <c r="A18" s="15">
        <v>5220520</v>
      </c>
      <c r="B18" s="15">
        <v>3143929</v>
      </c>
      <c r="C18" s="15">
        <v>21746643</v>
      </c>
      <c r="D18" s="15">
        <v>3043929</v>
      </c>
      <c r="E18" s="15">
        <v>278393</v>
      </c>
      <c r="F18" s="15">
        <v>16526123</v>
      </c>
      <c r="G18" s="15">
        <v>4047922</v>
      </c>
      <c r="H18" s="19">
        <v>0.58241520028941407</v>
      </c>
      <c r="I18" s="19">
        <v>0.28942808010586052</v>
      </c>
      <c r="J18" s="19">
        <v>0.46004599210547281</v>
      </c>
      <c r="K18" s="19">
        <v>1.7688535161355646E-2</v>
      </c>
      <c r="L18" s="19">
        <v>0.35749504750715688</v>
      </c>
      <c r="M18" s="17">
        <f t="shared" si="0"/>
        <v>2.9900000000000251</v>
      </c>
    </row>
    <row r="19" spans="1:13" ht="15.75" thickBot="1" x14ac:dyDescent="0.3">
      <c r="A19" s="15">
        <v>-3704886</v>
      </c>
      <c r="B19" s="15">
        <v>7581114</v>
      </c>
      <c r="C19" s="15">
        <v>20640504</v>
      </c>
      <c r="D19" s="15">
        <v>7481114</v>
      </c>
      <c r="E19" s="15">
        <v>223073</v>
      </c>
      <c r="F19" s="15">
        <v>24345390</v>
      </c>
      <c r="G19" s="15">
        <v>7889934</v>
      </c>
      <c r="H19" s="19">
        <v>0</v>
      </c>
      <c r="I19" s="19">
        <v>0.45884355597146331</v>
      </c>
      <c r="J19" s="19">
        <v>0.57259033840208362</v>
      </c>
      <c r="K19" s="19">
        <v>9.1872620620202326E-3</v>
      </c>
      <c r="L19" s="19">
        <v>0.4530134433839485</v>
      </c>
      <c r="M19" s="17">
        <f t="shared" si="0"/>
        <v>2.9900018822647012</v>
      </c>
    </row>
    <row r="20" spans="1:13" ht="15.75" thickBot="1" x14ac:dyDescent="0.3">
      <c r="A20" s="15">
        <v>1331058</v>
      </c>
      <c r="B20" s="15">
        <v>5193889</v>
      </c>
      <c r="C20" s="15">
        <v>15605653</v>
      </c>
      <c r="D20" s="15">
        <v>5093889</v>
      </c>
      <c r="E20" s="15">
        <v>260482</v>
      </c>
      <c r="F20" s="15">
        <v>14274595</v>
      </c>
      <c r="G20" s="15">
        <v>5580003</v>
      </c>
      <c r="H20" s="19">
        <v>9.0917405973951218E-2</v>
      </c>
      <c r="I20" s="19">
        <v>0.43272661181619421</v>
      </c>
      <c r="J20" s="19">
        <v>0.55292413154909081</v>
      </c>
      <c r="K20" s="19">
        <v>1.837665542818083E-2</v>
      </c>
      <c r="L20" s="19">
        <v>0.43984607499468298</v>
      </c>
      <c r="M20" s="17">
        <f t="shared" si="0"/>
        <v>2.9900000000000091</v>
      </c>
    </row>
    <row r="21" spans="1:13" ht="15.75" thickBot="1" x14ac:dyDescent="0.3">
      <c r="A21" s="15">
        <v>575770</v>
      </c>
      <c r="B21" s="15">
        <v>5416779</v>
      </c>
      <c r="C21" s="15">
        <v>15557689</v>
      </c>
      <c r="D21" s="15">
        <v>5316779</v>
      </c>
      <c r="E21" s="15">
        <v>406955</v>
      </c>
      <c r="F21" s="15">
        <v>14981919</v>
      </c>
      <c r="G21" s="15">
        <v>5874074</v>
      </c>
      <c r="H21" s="19">
        <v>3.7939724286537697E-2</v>
      </c>
      <c r="I21" s="19">
        <v>0.44431003712847922</v>
      </c>
      <c r="J21" s="19">
        <v>0.56006340078219252</v>
      </c>
      <c r="K21" s="19">
        <v>2.7413846163687278E-2</v>
      </c>
      <c r="L21" s="19">
        <v>0.45823898758449505</v>
      </c>
      <c r="M21" s="17">
        <f t="shared" si="0"/>
        <v>2.9900000000000739</v>
      </c>
    </row>
  </sheetData>
  <autoFilter ref="A1:M21">
    <filterColumn colId="12">
      <customFilters>
        <customFilter operator="lessThan" val="1.81"/>
        <customFilter operator="lessThan" val="2.99"/>
      </custom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M21"/>
  <sheetViews>
    <sheetView showGridLines="0" workbookViewId="0">
      <selection activeCell="N6" sqref="N6"/>
    </sheetView>
  </sheetViews>
  <sheetFormatPr baseColWidth="10" defaultRowHeight="15" x14ac:dyDescent="0.25"/>
  <sheetData>
    <row r="1" spans="1:13" ht="15.75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6" t="s">
        <v>16</v>
      </c>
    </row>
    <row r="2" spans="1:13" ht="15.75" thickBot="1" x14ac:dyDescent="0.3">
      <c r="A2" s="15">
        <v>-2952448</v>
      </c>
      <c r="B2" s="15">
        <v>6526653</v>
      </c>
      <c r="C2" s="15">
        <v>17329098</v>
      </c>
      <c r="D2" s="15">
        <v>6426653</v>
      </c>
      <c r="E2" s="15">
        <v>295961</v>
      </c>
      <c r="F2" s="15">
        <v>20281546</v>
      </c>
      <c r="G2" s="15">
        <v>7420602</v>
      </c>
      <c r="H2" s="19">
        <f>ratio(A2,C2)</f>
        <v>-0.17037516897878932</v>
      </c>
      <c r="I2" s="19">
        <f>ratio(B2,C2)</f>
        <v>0.37662970109581007</v>
      </c>
      <c r="J2" s="19">
        <f>ratio(D2,C2)</f>
        <v>0.37085906029269383</v>
      </c>
      <c r="K2" s="19">
        <f>ratio(E2,F2)</f>
        <v>1.4592625236754635E-2</v>
      </c>
      <c r="L2" s="19">
        <f>ratio(G2,C2)</f>
        <v>0.42821628684885965</v>
      </c>
      <c r="M2" s="17">
        <f>SCore_Altman(H2,I2,J2,K2,L2)</f>
        <v>1.9832099234295399</v>
      </c>
    </row>
    <row r="3" spans="1:13" ht="15.75" thickBot="1" x14ac:dyDescent="0.3">
      <c r="A3" s="15">
        <v>1543361</v>
      </c>
      <c r="B3" s="15">
        <v>6638859</v>
      </c>
      <c r="C3" s="15">
        <v>21352018</v>
      </c>
      <c r="D3" s="15">
        <v>6538859</v>
      </c>
      <c r="E3" s="15">
        <v>223577</v>
      </c>
      <c r="F3" s="15">
        <v>19808657</v>
      </c>
      <c r="G3" s="15">
        <v>7089111</v>
      </c>
      <c r="H3" s="19">
        <f t="shared" ref="H3:H21" si="0">ratio(A3,C3)</f>
        <v>7.2281739365337744E-2</v>
      </c>
      <c r="I3" s="19">
        <f t="shared" ref="I3:I21" si="1">ratio(B3,C3)</f>
        <v>0.31092419461242493</v>
      </c>
      <c r="J3" s="19">
        <f t="shared" ref="J3:J21" si="2">ratio(D3,C3)</f>
        <v>0.30624079653735775</v>
      </c>
      <c r="K3" s="19">
        <f t="shared" ref="K3:K21" si="3">ratio(E3,F3)</f>
        <v>1.1286832822639111E-2</v>
      </c>
      <c r="L3" s="19">
        <f t="shared" ref="L3:L21" si="4">ratio(G3,C3)</f>
        <v>0.33201128811337643</v>
      </c>
      <c r="M3" s="17">
        <f>SCore_Altman(H3,I3,J3,K3,L3)</f>
        <v>1.871077964787927</v>
      </c>
    </row>
    <row r="4" spans="1:13" ht="15.75" thickBot="1" x14ac:dyDescent="0.3">
      <c r="A4" s="15">
        <v>-5243746</v>
      </c>
      <c r="B4" s="15">
        <v>9332375</v>
      </c>
      <c r="C4" s="15">
        <v>19695101</v>
      </c>
      <c r="D4" s="15">
        <v>9232375</v>
      </c>
      <c r="E4" s="15">
        <v>494116</v>
      </c>
      <c r="F4" s="15">
        <v>24938847</v>
      </c>
      <c r="G4" s="15">
        <v>9470754</v>
      </c>
      <c r="H4" s="19">
        <f t="shared" si="0"/>
        <v>-0.26624621016160316</v>
      </c>
      <c r="I4" s="19">
        <f t="shared" si="1"/>
        <v>0.47384245452714358</v>
      </c>
      <c r="J4" s="19">
        <f t="shared" si="2"/>
        <v>0.46876504974511174</v>
      </c>
      <c r="K4" s="19">
        <f t="shared" si="3"/>
        <v>1.9813105232972479E-2</v>
      </c>
      <c r="L4" s="19">
        <f t="shared" si="4"/>
        <v>0.48086851649047141</v>
      </c>
      <c r="M4" s="17">
        <f t="shared" ref="M4:M21" si="5">SCore_Altman(H4,I4,J4,K4,L4)</f>
        <v>2.3830841594167103</v>
      </c>
    </row>
    <row r="5" spans="1:13" ht="15.75" thickBot="1" x14ac:dyDescent="0.3">
      <c r="A5" s="15">
        <v>-10634262</v>
      </c>
      <c r="B5" s="15">
        <v>6572345</v>
      </c>
      <c r="C5" s="15">
        <v>12962398</v>
      </c>
      <c r="D5" s="15">
        <v>6472345</v>
      </c>
      <c r="E5" s="15">
        <v>274535</v>
      </c>
      <c r="F5" s="15">
        <v>23596660</v>
      </c>
      <c r="G5" s="15">
        <v>7083771</v>
      </c>
      <c r="H5" s="19">
        <f t="shared" si="0"/>
        <v>-0.82039310936140053</v>
      </c>
      <c r="I5" s="19">
        <f t="shared" si="1"/>
        <v>0.50703156931302373</v>
      </c>
      <c r="J5" s="19">
        <f t="shared" si="2"/>
        <v>0.4993169473734721</v>
      </c>
      <c r="K5" s="19">
        <f t="shared" si="3"/>
        <v>1.1634485558549387E-2</v>
      </c>
      <c r="L5" s="19">
        <f t="shared" si="4"/>
        <v>0.54648615171359494</v>
      </c>
      <c r="M5" s="17">
        <f t="shared" si="5"/>
        <v>1.9260387490340214</v>
      </c>
    </row>
    <row r="6" spans="1:13" ht="15.75" thickBot="1" x14ac:dyDescent="0.3">
      <c r="A6" s="15">
        <v>5675282</v>
      </c>
      <c r="B6" s="15">
        <v>8399156</v>
      </c>
      <c r="C6" s="15">
        <v>17984770</v>
      </c>
      <c r="D6" s="15">
        <v>8299156</v>
      </c>
      <c r="E6" s="15">
        <v>464276</v>
      </c>
      <c r="F6" s="15">
        <v>12309488</v>
      </c>
      <c r="G6" s="15">
        <v>8596679</v>
      </c>
      <c r="H6" s="19">
        <f t="shared" si="0"/>
        <v>0.31556044364203711</v>
      </c>
      <c r="I6" s="19">
        <f t="shared" si="1"/>
        <v>0.46701492429427788</v>
      </c>
      <c r="J6" s="19">
        <f t="shared" si="2"/>
        <v>0.46145466414082581</v>
      </c>
      <c r="K6" s="19">
        <f t="shared" si="3"/>
        <v>3.7716922101065455E-2</v>
      </c>
      <c r="L6" s="19">
        <f t="shared" si="4"/>
        <v>0.47799771695718102</v>
      </c>
      <c r="M6" s="17">
        <f t="shared" si="5"/>
        <v>3.0554436905480218</v>
      </c>
    </row>
    <row r="7" spans="1:13" ht="15.75" thickBot="1" x14ac:dyDescent="0.3">
      <c r="A7" s="15">
        <v>5912342</v>
      </c>
      <c r="B7" s="15">
        <v>13029767</v>
      </c>
      <c r="C7" s="15">
        <v>17336875</v>
      </c>
      <c r="D7" s="15">
        <v>12929767</v>
      </c>
      <c r="E7" s="15">
        <v>170608</v>
      </c>
      <c r="F7" s="15">
        <v>11424533</v>
      </c>
      <c r="G7" s="15">
        <v>13766054</v>
      </c>
      <c r="H7" s="19">
        <f t="shared" si="0"/>
        <v>0.34102697285410433</v>
      </c>
      <c r="I7" s="19">
        <f t="shared" si="1"/>
        <v>0.75156376221204801</v>
      </c>
      <c r="J7" s="19">
        <f t="shared" si="2"/>
        <v>0.74579571001117562</v>
      </c>
      <c r="K7" s="19">
        <f t="shared" si="3"/>
        <v>1.4933476930741939E-2</v>
      </c>
      <c r="L7" s="19">
        <f t="shared" si="4"/>
        <v>0.7940331807202855</v>
      </c>
      <c r="M7" s="17">
        <f t="shared" si="5"/>
        <v>4.7247467112566817</v>
      </c>
    </row>
    <row r="8" spans="1:13" ht="15.75" thickBot="1" x14ac:dyDescent="0.3">
      <c r="A8" s="15">
        <v>-1273462</v>
      </c>
      <c r="B8" s="15">
        <v>2532301</v>
      </c>
      <c r="C8" s="15">
        <v>14262889</v>
      </c>
      <c r="D8" s="15">
        <v>2432301</v>
      </c>
      <c r="E8" s="15">
        <v>302741</v>
      </c>
      <c r="F8" s="15">
        <v>15536351</v>
      </c>
      <c r="G8" s="15">
        <v>3461521</v>
      </c>
      <c r="H8" s="19">
        <f t="shared" si="0"/>
        <v>-8.9284996889480106E-2</v>
      </c>
      <c r="I8" s="19">
        <f t="shared" si="1"/>
        <v>0.17754474566828643</v>
      </c>
      <c r="J8" s="19">
        <f t="shared" si="2"/>
        <v>0.17053354337960563</v>
      </c>
      <c r="K8" s="19">
        <f t="shared" si="3"/>
        <v>1.9485978399947323E-2</v>
      </c>
      <c r="L8" s="19">
        <f t="shared" si="4"/>
        <v>0.242694239575166</v>
      </c>
      <c r="M8" s="17">
        <f t="shared" si="5"/>
        <v>0.95832447319648273</v>
      </c>
    </row>
    <row r="9" spans="1:13" ht="15.75" thickBot="1" x14ac:dyDescent="0.3">
      <c r="A9" s="15">
        <v>-2703333</v>
      </c>
      <c r="B9" s="15">
        <v>5781080</v>
      </c>
      <c r="C9" s="15">
        <v>13847753</v>
      </c>
      <c r="D9" s="15">
        <v>5681080</v>
      </c>
      <c r="E9" s="15">
        <v>144752</v>
      </c>
      <c r="F9" s="15">
        <v>16551086</v>
      </c>
      <c r="G9" s="15">
        <v>5983331</v>
      </c>
      <c r="H9" s="19">
        <f t="shared" si="0"/>
        <v>-0.19521817005257097</v>
      </c>
      <c r="I9" s="19">
        <f t="shared" si="1"/>
        <v>0.41747422849035509</v>
      </c>
      <c r="J9" s="19">
        <f t="shared" si="2"/>
        <v>0.41025284029835019</v>
      </c>
      <c r="K9" s="19">
        <f t="shared" si="3"/>
        <v>8.7457705192275602E-3</v>
      </c>
      <c r="L9" s="19">
        <f t="shared" si="4"/>
        <v>0.43207955832256684</v>
      </c>
      <c r="M9" s="17">
        <f t="shared" si="5"/>
        <v>2.1409314298837483</v>
      </c>
    </row>
    <row r="10" spans="1:13" ht="15.75" thickBot="1" x14ac:dyDescent="0.3">
      <c r="A10" s="15">
        <v>11531803</v>
      </c>
      <c r="B10" s="15">
        <v>13246470</v>
      </c>
      <c r="C10" s="15">
        <v>24683986</v>
      </c>
      <c r="D10" s="15">
        <v>13146470</v>
      </c>
      <c r="E10" s="15">
        <v>303524</v>
      </c>
      <c r="F10" s="15">
        <v>13152183</v>
      </c>
      <c r="G10" s="15">
        <v>13955952</v>
      </c>
      <c r="H10" s="19">
        <f t="shared" si="0"/>
        <v>0.46717750528622082</v>
      </c>
      <c r="I10" s="19">
        <f t="shared" si="1"/>
        <v>0.53664225866924409</v>
      </c>
      <c r="J10" s="19">
        <f t="shared" si="2"/>
        <v>0.53259104911176014</v>
      </c>
      <c r="K10" s="19">
        <f t="shared" si="3"/>
        <v>2.3077841906548897E-2</v>
      </c>
      <c r="L10" s="19">
        <f t="shared" si="4"/>
        <v>0.56538486126187237</v>
      </c>
      <c r="M10" s="17">
        <f t="shared" si="5"/>
        <v>3.6481288120937552</v>
      </c>
    </row>
    <row r="11" spans="1:13" ht="15.75" thickBot="1" x14ac:dyDescent="0.3">
      <c r="A11" s="15">
        <v>-127677</v>
      </c>
      <c r="B11" s="15">
        <v>4905012</v>
      </c>
      <c r="C11" s="15">
        <v>20800746</v>
      </c>
      <c r="D11" s="15">
        <v>4805012</v>
      </c>
      <c r="E11" s="15">
        <v>463601</v>
      </c>
      <c r="F11" s="15">
        <v>20928423</v>
      </c>
      <c r="G11" s="15">
        <v>5554072</v>
      </c>
      <c r="H11" s="19">
        <f t="shared" si="0"/>
        <v>-6.1380971624767685E-3</v>
      </c>
      <c r="I11" s="19">
        <f t="shared" si="1"/>
        <v>0.23580942721958145</v>
      </c>
      <c r="J11" s="19">
        <f t="shared" si="2"/>
        <v>0.23100190733543882</v>
      </c>
      <c r="K11" s="19">
        <f t="shared" si="3"/>
        <v>2.2151740721219178E-2</v>
      </c>
      <c r="L11" s="19">
        <f t="shared" si="4"/>
        <v>0.26701311577959752</v>
      </c>
      <c r="M11" s="17">
        <f t="shared" si="5"/>
        <v>1.3651109228159393</v>
      </c>
    </row>
    <row r="12" spans="1:13" ht="15.75" thickBot="1" x14ac:dyDescent="0.3">
      <c r="A12" s="15">
        <v>-1120625</v>
      </c>
      <c r="B12" s="15">
        <v>9730429</v>
      </c>
      <c r="C12" s="15">
        <v>12657304</v>
      </c>
      <c r="D12" s="15">
        <v>9630429</v>
      </c>
      <c r="E12" s="15">
        <v>416987</v>
      </c>
      <c r="F12" s="15">
        <v>13777929</v>
      </c>
      <c r="G12" s="15">
        <v>10256672</v>
      </c>
      <c r="H12" s="19">
        <f t="shared" si="0"/>
        <v>-8.8535836699505682E-2</v>
      </c>
      <c r="I12" s="19">
        <f t="shared" si="1"/>
        <v>0.76875999817970719</v>
      </c>
      <c r="J12" s="19">
        <f t="shared" si="2"/>
        <v>0.76085942156402342</v>
      </c>
      <c r="K12" s="19">
        <f t="shared" si="3"/>
        <v>3.0264853302698833E-2</v>
      </c>
      <c r="L12" s="19">
        <f t="shared" si="4"/>
        <v>0.81033622957937967</v>
      </c>
      <c r="M12" s="17">
        <f t="shared" si="5"/>
        <v>4.3085418899048795</v>
      </c>
    </row>
    <row r="13" spans="1:13" ht="15.75" thickBot="1" x14ac:dyDescent="0.3">
      <c r="A13" s="15">
        <v>2649626</v>
      </c>
      <c r="B13" s="15">
        <v>5619720</v>
      </c>
      <c r="C13" s="15">
        <v>16789369</v>
      </c>
      <c r="D13" s="15">
        <v>5519720</v>
      </c>
      <c r="E13" s="15">
        <v>158010</v>
      </c>
      <c r="F13" s="15">
        <v>14139743</v>
      </c>
      <c r="G13" s="15">
        <v>5972295</v>
      </c>
      <c r="H13" s="19">
        <f t="shared" si="0"/>
        <v>0.15781569873173912</v>
      </c>
      <c r="I13" s="19">
        <f t="shared" si="1"/>
        <v>0.33471895221315345</v>
      </c>
      <c r="J13" s="19">
        <f t="shared" si="2"/>
        <v>0.32876280222324017</v>
      </c>
      <c r="K13" s="19">
        <f t="shared" si="3"/>
        <v>1.1174884861768705E-2</v>
      </c>
      <c r="L13" s="19">
        <f t="shared" si="4"/>
        <v>0.35571884804009013</v>
      </c>
      <c r="M13" s="17">
        <f t="shared" si="5"/>
        <v>2.1049706790223057</v>
      </c>
    </row>
    <row r="14" spans="1:13" ht="15.75" thickBot="1" x14ac:dyDescent="0.3">
      <c r="A14" s="15">
        <v>190510</v>
      </c>
      <c r="B14" s="15">
        <v>701461</v>
      </c>
      <c r="C14" s="15">
        <v>15147681</v>
      </c>
      <c r="D14" s="15">
        <v>601461</v>
      </c>
      <c r="E14" s="15">
        <v>117172</v>
      </c>
      <c r="F14" s="15">
        <v>14957171</v>
      </c>
      <c r="G14" s="15">
        <v>1071900</v>
      </c>
      <c r="H14" s="19">
        <f t="shared" si="0"/>
        <v>1.2576842620332446E-2</v>
      </c>
      <c r="I14" s="19">
        <f t="shared" si="1"/>
        <v>4.6308144461188479E-2</v>
      </c>
      <c r="J14" s="19">
        <f t="shared" si="2"/>
        <v>3.9706473882041744E-2</v>
      </c>
      <c r="K14" s="19">
        <f t="shared" si="3"/>
        <v>7.8338343527663088E-3</v>
      </c>
      <c r="L14" s="19">
        <f t="shared" si="4"/>
        <v>7.076330693787386E-2</v>
      </c>
      <c r="M14" s="17">
        <f t="shared" si="5"/>
        <v>0.28634782144339632</v>
      </c>
    </row>
    <row r="15" spans="1:13" ht="15.75" thickBot="1" x14ac:dyDescent="0.3">
      <c r="A15" s="15">
        <v>9346037</v>
      </c>
      <c r="B15" s="15">
        <v>13186318</v>
      </c>
      <c r="C15" s="15">
        <v>19394753</v>
      </c>
      <c r="D15" s="15">
        <v>13086318</v>
      </c>
      <c r="E15" s="15">
        <v>317675</v>
      </c>
      <c r="F15" s="15">
        <v>10048716</v>
      </c>
      <c r="G15" s="15">
        <v>13907812</v>
      </c>
      <c r="H15" s="19">
        <f t="shared" si="0"/>
        <v>0.48188481699148217</v>
      </c>
      <c r="I15" s="19">
        <f t="shared" si="1"/>
        <v>0.67989099938524611</v>
      </c>
      <c r="J15" s="19">
        <f t="shared" si="2"/>
        <v>0.674734965688916</v>
      </c>
      <c r="K15" s="19">
        <f t="shared" si="3"/>
        <v>3.1613491713767213E-2</v>
      </c>
      <c r="L15" s="19">
        <f t="shared" si="4"/>
        <v>0.71709147314224631</v>
      </c>
      <c r="M15" s="17">
        <f t="shared" si="5"/>
        <v>4.4920770429999104</v>
      </c>
    </row>
    <row r="16" spans="1:13" ht="15.75" thickBot="1" x14ac:dyDescent="0.3">
      <c r="A16" s="15">
        <v>-7959666</v>
      </c>
      <c r="B16" s="15">
        <v>8159588</v>
      </c>
      <c r="C16" s="15">
        <v>12550453</v>
      </c>
      <c r="D16" s="15">
        <v>8059588</v>
      </c>
      <c r="E16" s="15">
        <v>448773</v>
      </c>
      <c r="F16" s="15">
        <v>20510119</v>
      </c>
      <c r="G16" s="15">
        <v>8465488</v>
      </c>
      <c r="H16" s="19">
        <f t="shared" si="0"/>
        <v>-0.63421344233550769</v>
      </c>
      <c r="I16" s="19">
        <f t="shared" si="1"/>
        <v>0.6501429071922743</v>
      </c>
      <c r="J16" s="19">
        <f t="shared" si="2"/>
        <v>0.64217506730633545</v>
      </c>
      <c r="K16" s="19">
        <f t="shared" si="3"/>
        <v>2.1880565393111565E-2</v>
      </c>
      <c r="L16" s="19">
        <f t="shared" si="4"/>
        <v>0.67451652940336093</v>
      </c>
      <c r="M16" s="17">
        <f t="shared" si="5"/>
        <v>2.955292013487306</v>
      </c>
    </row>
    <row r="17" spans="1:13" ht="15.75" thickBot="1" x14ac:dyDescent="0.3">
      <c r="A17" s="15">
        <v>-12912119</v>
      </c>
      <c r="B17" s="15">
        <v>8507030</v>
      </c>
      <c r="C17" s="15">
        <v>11007748</v>
      </c>
      <c r="D17" s="15">
        <v>8407030</v>
      </c>
      <c r="E17" s="15">
        <v>481935</v>
      </c>
      <c r="F17" s="15">
        <v>23919867</v>
      </c>
      <c r="G17" s="15">
        <v>9227676</v>
      </c>
      <c r="H17" s="19">
        <f t="shared" si="0"/>
        <v>-1.173002779496769</v>
      </c>
      <c r="I17" s="19">
        <f t="shared" si="1"/>
        <v>0.77282201591097466</v>
      </c>
      <c r="J17" s="19">
        <f t="shared" si="2"/>
        <v>0.76373750561876963</v>
      </c>
      <c r="K17" s="19">
        <f t="shared" si="3"/>
        <v>2.0147896307282979E-2</v>
      </c>
      <c r="L17" s="19">
        <f t="shared" si="4"/>
        <v>0.83828917595133901</v>
      </c>
      <c r="M17" s="17">
        <f t="shared" si="5"/>
        <v>3.0442208799809389</v>
      </c>
    </row>
    <row r="18" spans="1:13" ht="15.75" thickBot="1" x14ac:dyDescent="0.3">
      <c r="A18" s="15">
        <v>5220520</v>
      </c>
      <c r="B18" s="15">
        <v>3143929</v>
      </c>
      <c r="C18" s="15">
        <v>21746643</v>
      </c>
      <c r="D18" s="15">
        <v>3043929</v>
      </c>
      <c r="E18" s="15">
        <v>278393</v>
      </c>
      <c r="F18" s="15">
        <v>16526123</v>
      </c>
      <c r="G18" s="15">
        <v>4047922</v>
      </c>
      <c r="H18" s="19">
        <f t="shared" si="0"/>
        <v>0.24006096021349135</v>
      </c>
      <c r="I18" s="19">
        <f t="shared" si="1"/>
        <v>0.14457077352122807</v>
      </c>
      <c r="J18" s="19">
        <f t="shared" si="2"/>
        <v>0.13997236263086674</v>
      </c>
      <c r="K18" s="19">
        <f t="shared" si="3"/>
        <v>1.6845632820232548E-2</v>
      </c>
      <c r="L18" s="19">
        <f t="shared" si="4"/>
        <v>0.18614008608133217</v>
      </c>
      <c r="M18" s="17">
        <f t="shared" si="5"/>
        <v>1.1484423575551594</v>
      </c>
    </row>
    <row r="19" spans="1:13" ht="15.75" thickBot="1" x14ac:dyDescent="0.3">
      <c r="A19" s="15">
        <v>-3704886</v>
      </c>
      <c r="B19" s="15">
        <v>7581114</v>
      </c>
      <c r="C19" s="15">
        <v>20640504</v>
      </c>
      <c r="D19" s="15">
        <v>7481114</v>
      </c>
      <c r="E19" s="15">
        <v>223073</v>
      </c>
      <c r="F19" s="15">
        <v>24345390</v>
      </c>
      <c r="G19" s="15">
        <v>7889934</v>
      </c>
      <c r="H19" s="19">
        <f t="shared" si="0"/>
        <v>-0.1794959076580688</v>
      </c>
      <c r="I19" s="19">
        <f t="shared" si="1"/>
        <v>0.36729306609954876</v>
      </c>
      <c r="J19" s="19">
        <f t="shared" si="2"/>
        <v>0.36244822316354292</v>
      </c>
      <c r="K19" s="19">
        <f t="shared" si="3"/>
        <v>9.1628435609369986E-3</v>
      </c>
      <c r="L19" s="19">
        <f t="shared" si="4"/>
        <v>0.38225491005452195</v>
      </c>
      <c r="M19" s="17">
        <f t="shared" si="5"/>
        <v>1.8822647010704072</v>
      </c>
    </row>
    <row r="20" spans="1:13" ht="15.75" thickBot="1" x14ac:dyDescent="0.3">
      <c r="A20" s="15">
        <v>1331058</v>
      </c>
      <c r="B20" s="15">
        <v>5193889</v>
      </c>
      <c r="C20" s="15">
        <v>15605653</v>
      </c>
      <c r="D20" s="15">
        <v>5093889</v>
      </c>
      <c r="E20" s="15">
        <v>260482</v>
      </c>
      <c r="F20" s="15">
        <v>14274595</v>
      </c>
      <c r="G20" s="15">
        <v>5580003</v>
      </c>
      <c r="H20" s="19">
        <f t="shared" si="0"/>
        <v>8.5293322874730071E-2</v>
      </c>
      <c r="I20" s="19">
        <f t="shared" si="1"/>
        <v>0.33282099762182332</v>
      </c>
      <c r="J20" s="19">
        <f t="shared" si="2"/>
        <v>0.32641306326624075</v>
      </c>
      <c r="K20" s="19">
        <f t="shared" si="3"/>
        <v>1.8247943286657169E-2</v>
      </c>
      <c r="L20" s="19">
        <f t="shared" si="4"/>
        <v>0.35756292927953737</v>
      </c>
      <c r="M20" s="17">
        <f t="shared" si="5"/>
        <v>2.013618625221075</v>
      </c>
    </row>
    <row r="21" spans="1:13" ht="15.75" thickBot="1" x14ac:dyDescent="0.3">
      <c r="A21" s="15">
        <v>575770</v>
      </c>
      <c r="B21" s="15">
        <v>5416779</v>
      </c>
      <c r="C21" s="15">
        <v>15557689</v>
      </c>
      <c r="D21" s="15">
        <v>5316779</v>
      </c>
      <c r="E21" s="15">
        <v>406955</v>
      </c>
      <c r="F21" s="15">
        <v>14981919</v>
      </c>
      <c r="G21" s="15">
        <v>5874074</v>
      </c>
      <c r="H21" s="19">
        <f t="shared" si="0"/>
        <v>3.7008709969713366E-2</v>
      </c>
      <c r="I21" s="19">
        <f t="shared" si="1"/>
        <v>0.3481737551123435</v>
      </c>
      <c r="J21" s="19">
        <f t="shared" si="2"/>
        <v>0.34174606524143786</v>
      </c>
      <c r="K21" s="19">
        <f t="shared" si="3"/>
        <v>2.7163075704787886E-2</v>
      </c>
      <c r="L21" s="19">
        <f t="shared" si="4"/>
        <v>0.37756725950750142</v>
      </c>
      <c r="M21" s="17">
        <f t="shared" si="5"/>
        <v>2.0531032620885488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1:F21"/>
  <sheetViews>
    <sheetView showGridLines="0" view="pageLayout" zoomScaleNormal="100" workbookViewId="0">
      <selection activeCell="C2" sqref="C2"/>
    </sheetView>
  </sheetViews>
  <sheetFormatPr baseColWidth="10" defaultRowHeight="15" x14ac:dyDescent="0.25"/>
  <cols>
    <col min="5" max="5" width="11.42578125" customWidth="1"/>
  </cols>
  <sheetData>
    <row r="1" spans="2:6" x14ac:dyDescent="0.25">
      <c r="B1" s="1" t="s">
        <v>18</v>
      </c>
      <c r="C1" t="s">
        <v>17</v>
      </c>
      <c r="D1" t="s">
        <v>19</v>
      </c>
      <c r="E1" t="s">
        <v>20</v>
      </c>
      <c r="F1" t="s">
        <v>24</v>
      </c>
    </row>
    <row r="2" spans="2:6" x14ac:dyDescent="0.25">
      <c r="B2">
        <f ca="1">récupération(A!A2,A!B2,A!C2,A!D2,A!E2,A!F2,A!G2)</f>
        <v>3.7256642357577867</v>
      </c>
      <c r="C2">
        <f ca="1">récupération(B!A2,B!B2,B!C2,B!D2,B!E2,B!F2,B!G2)</f>
        <v>2.4137014122299512</v>
      </c>
      <c r="D2">
        <f ca="1">récupération('C'!A2,'C'!B2,'C'!C2,'C'!D2,'C'!E2,'C'!F2,'C'!G2)</f>
        <v>2.9483925803838331</v>
      </c>
      <c r="E2">
        <f ca="1">récupération(D!A2,D!B2,D!C2,D!D2,D!E2,D!F2,D!G2)</f>
        <v>4.1739169837021626</v>
      </c>
      <c r="F2">
        <f ca="1">récupération(E!A2,E!B2,E!C2,E!D2,E!E2,E!F2,E!G2)</f>
        <v>1.9832099234295399</v>
      </c>
    </row>
    <row r="3" spans="2:6" x14ac:dyDescent="0.25">
      <c r="B3">
        <f ca="1">récupération(A!A3,A!B3,A!C3,A!D3,A!E3,A!F3,A!G3)</f>
        <v>2.022815501124966</v>
      </c>
      <c r="C3">
        <f ca="1">récupération(B!A3,B!B3,B!C3,B!D3,B!E3,B!F3,B!G3)</f>
        <v>2.8205031348194876</v>
      </c>
      <c r="D3">
        <f ca="1">récupération('C'!A3,'C'!B3,'C'!C3,'C'!D3,'C'!E3,'C'!F3,'C'!G3)</f>
        <v>2.7667081584741604</v>
      </c>
      <c r="E3">
        <f ca="1">récupération(D!A3,D!B3,D!C3,D!D3,D!E3,D!F3,D!G3)</f>
        <v>2.0759504603947003</v>
      </c>
      <c r="F3">
        <f ca="1">récupération(E!A3,E!B3,E!C3,E!D3,E!E3,E!F3,E!G3)</f>
        <v>1.871077964787927</v>
      </c>
    </row>
    <row r="4" spans="2:6" x14ac:dyDescent="0.25">
      <c r="B4">
        <f ca="1">récupération(A!A4,A!B4,A!C4,A!D4,A!E4,A!F4,A!G4)</f>
        <v>1.0524954660427448</v>
      </c>
      <c r="C4">
        <f ca="1">récupération(B!A4,B!B4,B!C4,B!D4,B!E4,B!F4,B!G4)</f>
        <v>3.5652233632736023</v>
      </c>
      <c r="D4">
        <f ca="1">récupération('C'!A4,'C'!B4,'C'!C4,'C'!D4,'C'!E4,'C'!F4,'C'!G4)</f>
        <v>1.4511764045879667</v>
      </c>
      <c r="E4">
        <f ca="1">récupération(D!A4,D!B4,D!C4,D!D4,D!E4,D!F4,D!G4)</f>
        <v>2.0626346260137094</v>
      </c>
      <c r="F4">
        <f ca="1">récupération(E!A4,E!B4,E!C4,E!D4,E!E4,E!F4,E!G4)</f>
        <v>2.3830841594167103</v>
      </c>
    </row>
    <row r="5" spans="2:6" x14ac:dyDescent="0.25">
      <c r="B5">
        <f ca="1">récupération(A!A5,A!B5,A!C5,A!D5,A!E5,A!F5,A!G5)</f>
        <v>5.4192872754814463</v>
      </c>
      <c r="C5">
        <f ca="1">récupération(B!A5,B!B5,B!C5,B!D5,B!E5,B!F5,B!G5)</f>
        <v>-0.36182077860307343</v>
      </c>
      <c r="D5">
        <f ca="1">récupération('C'!A5,'C'!B5,'C'!C5,'C'!D5,'C'!E5,'C'!F5,'C'!G5)</f>
        <v>2.9527610893913412</v>
      </c>
      <c r="E5">
        <f ca="1">récupération(D!A5,D!B5,D!C5,D!D5,D!E5,D!F5,D!G5)</f>
        <v>1.8341423982540501</v>
      </c>
      <c r="F5">
        <f ca="1">récupération(E!A5,E!B5,E!C5,E!D5,E!E5,E!F5,E!G5)</f>
        <v>1.9260387490340212</v>
      </c>
    </row>
    <row r="6" spans="2:6" x14ac:dyDescent="0.25">
      <c r="B6">
        <f ca="1">récupération(A!A6,A!B6,A!C6,A!D6,A!E6,A!F6,A!G6)</f>
        <v>3.4672294700908628</v>
      </c>
      <c r="C6">
        <f ca="1">récupération(B!A6,B!B6,B!C6,B!D6,B!E6,B!F6,B!G6)</f>
        <v>0.27851368457977788</v>
      </c>
      <c r="D6">
        <f ca="1">récupération('C'!A6,'C'!B6,'C'!C6,'C'!D6,'C'!E6,'C'!F6,'C'!G6)</f>
        <v>3.6642277792858002</v>
      </c>
      <c r="E6">
        <f ca="1">récupération(D!A6,D!B6,D!C6,D!D6,D!E6,D!F6,D!G6)</f>
        <v>2.3077932495717843</v>
      </c>
      <c r="F6">
        <f ca="1">récupération(E!A6,E!B6,E!C6,E!D6,E!E6,E!F6,E!G6)</f>
        <v>3.0554436905480218</v>
      </c>
    </row>
    <row r="7" spans="2:6" x14ac:dyDescent="0.25">
      <c r="B7">
        <f ca="1">récupération(A!A7,A!B7,A!C7,A!D7,A!E7,A!F7,A!G7)</f>
        <v>2.4969501235423688</v>
      </c>
      <c r="C7">
        <f ca="1">récupération(B!A7,B!B7,B!C7,B!D7,B!E7,B!F7,B!G7)</f>
        <v>2.8743007905340838</v>
      </c>
      <c r="D7">
        <f ca="1">récupération('C'!A7,'C'!B7,'C'!C7,'C'!D7,'C'!E7,'C'!F7,'C'!G7)</f>
        <v>3.6008049353909151</v>
      </c>
      <c r="E7">
        <f ca="1">récupération(D!A7,D!B7,D!C7,D!D7,D!E7,D!F7,D!G7)</f>
        <v>1.5192087168496209</v>
      </c>
      <c r="F7">
        <f ca="1">récupération(E!A7,E!B7,E!C7,E!D7,E!E7,E!F7,E!G7)</f>
        <v>4.7247467112566817</v>
      </c>
    </row>
    <row r="8" spans="2:6" x14ac:dyDescent="0.25">
      <c r="B8">
        <f ca="1">récupération(A!A8,A!B8,A!C8,A!D8,A!E8,A!F8,A!G8)</f>
        <v>2.5531636799767976</v>
      </c>
      <c r="C8">
        <f ca="1">récupération(B!A8,B!B8,B!C8,B!D8,B!E8,B!F8,B!G8)</f>
        <v>4.3861017546052743</v>
      </c>
      <c r="D8">
        <f ca="1">récupération('C'!A8,'C'!B8,'C'!C8,'C'!D8,'C'!E8,'C'!F8,'C'!G8)</f>
        <v>1.2714110296843359</v>
      </c>
      <c r="E8">
        <f ca="1">récupération(D!A8,D!B8,D!C8,D!D8,D!E8,D!F8,D!G8)</f>
        <v>4.7233610434768831</v>
      </c>
      <c r="F8">
        <f ca="1">récupération(E!A8,E!B8,E!C8,E!D8,E!E8,E!F8,E!G8)</f>
        <v>0.95832447319648262</v>
      </c>
    </row>
    <row r="9" spans="2:6" x14ac:dyDescent="0.25">
      <c r="B9">
        <f ca="1">récupération(A!A9,A!B9,A!C9,A!D9,A!E9,A!F9,A!G9)</f>
        <v>1.3520263893393645</v>
      </c>
      <c r="C9">
        <f ca="1">récupération(B!A9,B!B9,B!C9,B!D9,B!E9,B!F9,B!G9)</f>
        <v>3.0959086029659644</v>
      </c>
      <c r="D9">
        <f ca="1">récupération('C'!A9,'C'!B9,'C'!C9,'C'!D9,'C'!E9,'C'!F9,'C'!G9)</f>
        <v>4.1120273768929874</v>
      </c>
      <c r="E9">
        <f ca="1">récupération(D!A9,D!B9,D!C9,D!D9,D!E9,D!F9,D!G9)</f>
        <v>0.32120544585633493</v>
      </c>
      <c r="F9">
        <f ca="1">récupération(E!A9,E!B9,E!C9,E!D9,E!E9,E!F9,E!G9)</f>
        <v>2.1409314298837483</v>
      </c>
    </row>
    <row r="10" spans="2:6" x14ac:dyDescent="0.25">
      <c r="B10">
        <f ca="1">récupération(A!A10,A!B10,A!C10,A!D10,A!E10,A!F10,A!G10)</f>
        <v>1.9715535379088278</v>
      </c>
      <c r="C10">
        <f ca="1">récupération(B!A10,B!B10,B!C10,B!D10,B!E10,B!F10,B!G10)</f>
        <v>4.4180015014373462</v>
      </c>
      <c r="D10">
        <f ca="1">récupération('C'!A10,'C'!B10,'C'!C10,'C'!D10,'C'!E10,'C'!F10,'C'!G10)</f>
        <v>1.9469759979674781</v>
      </c>
      <c r="E10">
        <f ca="1">récupération(D!A10,D!B10,D!C10,D!D10,D!E10,D!F10,D!G10)</f>
        <v>3.4297470434034913</v>
      </c>
      <c r="F10">
        <f ca="1">récupération(E!A10,E!B10,E!C10,E!D10,E!E10,E!F10,E!G10)</f>
        <v>3.6481288120937552</v>
      </c>
    </row>
    <row r="11" spans="2:6" x14ac:dyDescent="0.25">
      <c r="B11">
        <f ca="1">récupération(A!A11,A!B11,A!C11,A!D11,A!E11,A!F11,A!G11)</f>
        <v>4.1230445131669917</v>
      </c>
      <c r="C11">
        <f ca="1">récupération(B!A11,B!B11,B!C11,B!D11,B!E11,B!F11,B!G11)</f>
        <v>2.1980203761131691</v>
      </c>
      <c r="D11">
        <f ca="1">récupération('C'!A11,'C'!B11,'C'!C11,'C'!D11,'C'!E11,'C'!F11,'C'!G11)</f>
        <v>1.8111439104938638</v>
      </c>
      <c r="E11">
        <f ca="1">récupération(D!A11,D!B11,D!C11,D!D11,D!E11,D!F11,D!G11)</f>
        <v>2.8166188433304828</v>
      </c>
      <c r="F11">
        <f ca="1">récupération(E!A11,E!B11,E!C11,E!D11,E!E11,E!F11,E!G11)</f>
        <v>1.3651109228159393</v>
      </c>
    </row>
    <row r="12" spans="2:6" x14ac:dyDescent="0.25">
      <c r="B12">
        <f ca="1">récupération(A!A12,A!B12,A!C12,A!D12,A!E12,A!F12,A!G12)</f>
        <v>0.68745299725557463</v>
      </c>
      <c r="C12">
        <f ca="1">récupération(B!A12,B!B12,B!C12,B!D12,B!E12,B!F12,B!G12)</f>
        <v>3.1656267793836772</v>
      </c>
      <c r="D12">
        <f ca="1">récupération('C'!A12,'C'!B12,'C'!C12,'C'!D12,'C'!E12,'C'!F12,'C'!G12)</f>
        <v>2.3347155483481732</v>
      </c>
      <c r="E12">
        <f ca="1">récupération(D!A12,D!B12,D!C12,D!D12,D!E12,D!F12,D!G12)</f>
        <v>3.2431464177574241</v>
      </c>
      <c r="F12">
        <f ca="1">récupération(E!A12,E!B12,E!C12,E!D12,E!E12,E!F12,E!G12)</f>
        <v>4.3085418899048795</v>
      </c>
    </row>
    <row r="13" spans="2:6" x14ac:dyDescent="0.25">
      <c r="B13">
        <f ca="1">récupération(A!A13,A!B13,A!C13,A!D13,A!E13,A!F13,A!G13)</f>
        <v>1.7693206625034374</v>
      </c>
      <c r="C13">
        <f ca="1">récupération(B!A13,B!B13,B!C13,B!D13,B!E13,B!F13,B!G13)</f>
        <v>4.7870490154336096</v>
      </c>
      <c r="D13">
        <f ca="1">récupération('C'!A13,'C'!B13,'C'!C13,'C'!D13,'C'!E13,'C'!F13,'C'!G13)</f>
        <v>1.0297422458274885</v>
      </c>
      <c r="E13">
        <f ca="1">récupération(D!A13,D!B13,D!C13,D!D13,D!E13,D!F13,D!G13)</f>
        <v>0.5216581165766645</v>
      </c>
      <c r="F13">
        <f ca="1">récupération(E!A13,E!B13,E!C13,E!D13,E!E13,E!F13,E!G13)</f>
        <v>2.1049706790223057</v>
      </c>
    </row>
    <row r="14" spans="2:6" x14ac:dyDescent="0.25">
      <c r="B14">
        <f ca="1">récupération(A!A14,A!B14,A!C14,A!D14,A!E14,A!F14,A!G14)</f>
        <v>1.1813897705145358</v>
      </c>
      <c r="C14">
        <f ca="1">récupération(B!A14,B!B14,B!C14,B!D14,B!E14,B!F14,B!G14)</f>
        <v>1.7794226058818552</v>
      </c>
      <c r="D14">
        <f ca="1">récupération('C'!A14,'C'!B14,'C'!C14,'C'!D14,'C'!E14,'C'!F14,'C'!G14)</f>
        <v>4.1155364104236849</v>
      </c>
      <c r="E14">
        <f ca="1">récupération(D!A14,D!B14,D!C14,D!D14,D!E14,D!F14,D!G14)</f>
        <v>2.2176795695351141</v>
      </c>
      <c r="F14">
        <f ca="1">récupération(E!A14,E!B14,E!C14,E!D14,E!E14,E!F14,E!G14)</f>
        <v>0.28634782144339632</v>
      </c>
    </row>
    <row r="15" spans="2:6" x14ac:dyDescent="0.25">
      <c r="B15">
        <f ca="1">récupération(A!A15,A!B15,A!C15,A!D15,A!E15,A!F15,A!G15)</f>
        <v>0.67225230100045819</v>
      </c>
      <c r="C15">
        <f ca="1">récupération(B!A15,B!B15,B!C15,B!D15,B!E15,B!F15,B!G15)</f>
        <v>2.1461522138097839</v>
      </c>
      <c r="D15">
        <f ca="1">récupération('C'!A15,'C'!B15,'C'!C15,'C'!D15,'C'!E15,'C'!F15,'C'!G15)</f>
        <v>2.4772210291376418</v>
      </c>
      <c r="E15">
        <f ca="1">récupération(D!A15,D!B15,D!C15,D!D15,D!E15,D!F15,D!G15)</f>
        <v>1.6434557400322403</v>
      </c>
      <c r="F15">
        <f ca="1">récupération(E!A15,E!B15,E!C15,E!D15,E!E15,E!F15,E!G15)</f>
        <v>4.4920770429999095</v>
      </c>
    </row>
    <row r="16" spans="2:6" x14ac:dyDescent="0.25">
      <c r="B16">
        <f ca="1">récupération(A!A16,A!B16,A!C16,A!D16,A!E16,A!F16,A!G16)</f>
        <v>2.7409627818064166</v>
      </c>
      <c r="C16">
        <f ca="1">récupération(B!A16,B!B16,B!C16,B!D16,B!E16,B!F16,B!G16)</f>
        <v>3.6417554704447808</v>
      </c>
      <c r="D16">
        <f ca="1">récupération('C'!A16,'C'!B16,'C'!C16,'C'!D16,'C'!E16,'C'!F16,'C'!G16)</f>
        <v>3.2721716221007058</v>
      </c>
      <c r="E16">
        <f ca="1">récupération(D!A16,D!B16,D!C16,D!D16,D!E16,D!F16,D!G16)</f>
        <v>3.9256741578419749</v>
      </c>
      <c r="F16">
        <f ca="1">récupération(E!A16,E!B16,E!C16,E!D16,E!E16,E!F16,E!G16)</f>
        <v>2.9552920134873064</v>
      </c>
    </row>
    <row r="17" spans="2:6" x14ac:dyDescent="0.25">
      <c r="B17">
        <f ca="1">récupération(A!A17,A!B17,A!C17,A!D17,A!E17,A!F17,A!G17)</f>
        <v>2.962811409238447</v>
      </c>
      <c r="C17">
        <f ca="1">récupération(B!A17,B!B17,B!C17,B!D17,B!E17,B!F17,B!G17)</f>
        <v>0.92058455878652834</v>
      </c>
      <c r="D17">
        <f ca="1">récupération('C'!A17,'C'!B17,'C'!C17,'C'!D17,'C'!E17,'C'!F17,'C'!G17)</f>
        <v>-0.84737226122611009</v>
      </c>
      <c r="E17">
        <f ca="1">récupération(D!A17,D!B17,D!C17,D!D17,D!E17,D!F17,D!G17)</f>
        <v>5.4616179321218636</v>
      </c>
      <c r="F17">
        <f ca="1">récupération(E!A17,E!B17,E!C17,E!D17,E!E17,E!F17,E!G17)</f>
        <v>3.0442208799809389</v>
      </c>
    </row>
    <row r="18" spans="2:6" x14ac:dyDescent="0.25">
      <c r="B18">
        <f ca="1">récupération(A!A18,A!B18,A!C18,A!D18,A!E18,A!F18,A!G18)</f>
        <v>3.5286206172189396</v>
      </c>
      <c r="C18">
        <f ca="1">récupération(B!A18,B!B18,B!C18,B!D18,B!E18,B!F18,B!G18)</f>
        <v>2.747930528978245</v>
      </c>
      <c r="D18">
        <f ca="1">récupération('C'!A18,'C'!B18,'C'!C18,'C'!D18,'C'!E18,'C'!F18,'C'!G18)</f>
        <v>5.2657809264820745</v>
      </c>
      <c r="E18">
        <f ca="1">récupération(D!A18,D!B18,D!C18,D!D18,D!E18,D!F18,D!G18)</f>
        <v>3.2767209981154339</v>
      </c>
      <c r="F18">
        <f ca="1">récupération(E!A18,E!B18,E!C18,E!D18,E!E18,E!F18,E!G18)</f>
        <v>1.1484423575551597</v>
      </c>
    </row>
    <row r="19" spans="2:6" x14ac:dyDescent="0.25">
      <c r="B19">
        <f ca="1">récupération(A!A19,A!B19,A!C19,A!D19,A!E19,A!F19,A!G19)</f>
        <v>1.9019956661183675</v>
      </c>
      <c r="C19">
        <f ca="1">récupération(B!A19,B!B19,B!C19,B!D19,B!E19,B!F19,B!G19)</f>
        <v>1.0453681702725737</v>
      </c>
      <c r="D19">
        <f ca="1">récupération('C'!A19,'C'!B19,'C'!C19,'C'!D19,'C'!E19,'C'!F19,'C'!G19)</f>
        <v>3.4142665350455634</v>
      </c>
      <c r="E19">
        <f ca="1">récupération(D!A19,D!B19,D!C19,D!D19,D!E19,D!F19,D!G19)</f>
        <v>1.4487523577583344E-2</v>
      </c>
      <c r="F19">
        <f ca="1">récupération(E!A19,E!B19,E!C19,E!D19,E!E19,E!F19,E!G19)</f>
        <v>1.8822647010704068</v>
      </c>
    </row>
    <row r="20" spans="2:6" x14ac:dyDescent="0.25">
      <c r="B20">
        <f ca="1">récupération(A!A20,A!B20,A!C20,A!D20,A!E20,A!F20,A!G20)</f>
        <v>3.1514402150388876</v>
      </c>
      <c r="C20">
        <f ca="1">récupération(B!A20,B!B20,B!C20,B!D20,B!E20,B!F20,B!G20)</f>
        <v>4.5444856009559746</v>
      </c>
      <c r="D20">
        <f ca="1">récupération('C'!A20,'C'!B20,'C'!C20,'C'!D20,'C'!E20,'C'!F20,'C'!G20)</f>
        <v>1.4701666042188457</v>
      </c>
      <c r="E20">
        <f ca="1">récupération(D!A20,D!B20,D!C20,D!D20,D!E20,D!F20,D!G20)</f>
        <v>4.8117166849142317</v>
      </c>
      <c r="F20">
        <f ca="1">récupération(E!A20,E!B20,E!C20,E!D20,E!E20,E!F20,E!G20)</f>
        <v>2.013618625221075</v>
      </c>
    </row>
    <row r="21" spans="2:6" x14ac:dyDescent="0.25">
      <c r="B21">
        <f ca="1">récupération(A!A21,A!B21,A!C21,A!D21,A!E21,A!F21,A!G21)</f>
        <v>0.45246067042608756</v>
      </c>
      <c r="C21">
        <f ca="1">récupération(B!A21,B!B21,B!C21,B!D21,B!E21,B!F21,B!G21)</f>
        <v>2.5016483353282704</v>
      </c>
      <c r="D21">
        <f ca="1">récupération('C'!A21,'C'!B21,'C'!C21,'C'!D21,'C'!E21,'C'!F21,'C'!G21)</f>
        <v>3.3947584178554155</v>
      </c>
      <c r="E21">
        <f ca="1">récupération(D!A21,D!B21,D!C21,D!D21,D!E21,D!F21,D!G21)</f>
        <v>0.47210265997456147</v>
      </c>
      <c r="F21">
        <f ca="1">récupération(E!A21,E!B21,E!C21,E!D21,E!E21,E!F21,E!G21)</f>
        <v>2.0531032620885488</v>
      </c>
    </row>
  </sheetData>
  <conditionalFormatting sqref="B1:F21">
    <cfRule type="colorScale" priority="2">
      <colorScale>
        <cfvo type="min"/>
        <cfvo type="percentile" val="24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r:id="rId1"/>
  <headerFooter>
    <oddHeader>&amp;C&amp;"Times New Roman,Gras"&amp;18&amp;K03+000HEATMAP</oddHead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K38"/>
  <sheetViews>
    <sheetView showGridLines="0" view="pageLayout" zoomScaleNormal="100" workbookViewId="0">
      <selection activeCell="B10" sqref="B10"/>
    </sheetView>
  </sheetViews>
  <sheetFormatPr baseColWidth="10" defaultRowHeight="15" x14ac:dyDescent="0.25"/>
  <sheetData>
    <row r="1" spans="1:11" ht="17.25" thickTop="1" thickBot="1" x14ac:dyDescent="0.3">
      <c r="A1" s="24" t="s">
        <v>28</v>
      </c>
      <c r="B1" s="24"/>
      <c r="C1" s="24"/>
      <c r="D1" s="24"/>
      <c r="E1" s="24"/>
      <c r="F1" s="24"/>
    </row>
    <row r="2" spans="1:11" ht="16.5" thickTop="1" thickBot="1" x14ac:dyDescent="0.3">
      <c r="A2" s="3" t="s">
        <v>21</v>
      </c>
      <c r="B2" s="2" t="s">
        <v>17</v>
      </c>
      <c r="C2" s="4" t="s">
        <v>19</v>
      </c>
      <c r="D2" s="4" t="s">
        <v>20</v>
      </c>
      <c r="E2" s="4" t="s">
        <v>24</v>
      </c>
      <c r="F2" s="2"/>
      <c r="I2" s="27" t="s">
        <v>25</v>
      </c>
      <c r="J2" s="28"/>
      <c r="K2" s="29"/>
    </row>
    <row r="3" spans="1:11" ht="16.5" thickTop="1" thickBot="1" x14ac:dyDescent="0.3">
      <c r="A3" s="5">
        <v>1.0524954660427448</v>
      </c>
      <c r="B3" s="5">
        <v>-0.36182077860307343</v>
      </c>
      <c r="C3" s="5">
        <v>1.4511764045879667</v>
      </c>
      <c r="D3" s="5">
        <v>1.5192087168496209</v>
      </c>
      <c r="E3" s="5">
        <v>0.95832447319648262</v>
      </c>
      <c r="F3" s="2"/>
      <c r="I3" s="10" t="s">
        <v>26</v>
      </c>
      <c r="J3" s="10" t="s">
        <v>27</v>
      </c>
      <c r="K3" s="10" t="s">
        <v>23</v>
      </c>
    </row>
    <row r="4" spans="1:11" ht="16.5" thickTop="1" thickBot="1" x14ac:dyDescent="0.3">
      <c r="A4" s="6">
        <v>1.3520263893393645</v>
      </c>
      <c r="B4" s="6">
        <v>0.27851368457977788</v>
      </c>
      <c r="C4" s="6">
        <v>1.2714110296843359</v>
      </c>
      <c r="D4" s="6">
        <v>0.32120544585633493</v>
      </c>
      <c r="E4" s="6">
        <v>1.3651109228159393</v>
      </c>
      <c r="F4" s="2"/>
      <c r="I4" s="9">
        <f>F22</f>
        <v>36</v>
      </c>
      <c r="J4" s="9">
        <f>F10</f>
        <v>27</v>
      </c>
      <c r="K4" s="9">
        <f>F37</f>
        <v>37</v>
      </c>
    </row>
    <row r="5" spans="1:11" ht="16.5" thickTop="1" thickBot="1" x14ac:dyDescent="0.3">
      <c r="A5" s="5">
        <v>0.68745299725557463</v>
      </c>
      <c r="B5" s="5">
        <v>1.7794226058818552</v>
      </c>
      <c r="C5" s="5">
        <v>1.0297422458274885</v>
      </c>
      <c r="D5" s="5">
        <v>0.5216581165766645</v>
      </c>
      <c r="E5" s="5">
        <v>0.28634782144339632</v>
      </c>
      <c r="F5" s="2"/>
    </row>
    <row r="6" spans="1:11" ht="16.5" thickTop="1" thickBot="1" x14ac:dyDescent="0.3">
      <c r="A6" s="6">
        <v>1.7693206625034374</v>
      </c>
      <c r="B6" s="6">
        <v>0.92058455878652834</v>
      </c>
      <c r="C6" s="6">
        <v>-0.84737226122611009</v>
      </c>
      <c r="D6" s="6">
        <v>1.6434557400322403</v>
      </c>
      <c r="E6" s="6">
        <v>1.1484423575551597</v>
      </c>
      <c r="F6" s="2"/>
    </row>
    <row r="7" spans="1:11" ht="16.5" thickTop="1" thickBot="1" x14ac:dyDescent="0.3">
      <c r="A7" s="5">
        <v>1.1813897705145358</v>
      </c>
      <c r="B7" s="5">
        <v>1.0453681702725737</v>
      </c>
      <c r="C7" s="5">
        <v>1.4701666042188457</v>
      </c>
      <c r="D7" s="5">
        <v>1.4487523577583344E-2</v>
      </c>
      <c r="E7" s="2"/>
      <c r="F7" s="2"/>
    </row>
    <row r="8" spans="1:11" ht="16.5" thickTop="1" thickBot="1" x14ac:dyDescent="0.3">
      <c r="A8" s="6">
        <v>0.67225230100045819</v>
      </c>
      <c r="B8" s="2"/>
      <c r="C8" s="2"/>
      <c r="D8" s="6">
        <v>0.47210265997456147</v>
      </c>
      <c r="E8" s="2"/>
      <c r="F8" s="2"/>
    </row>
    <row r="9" spans="1:11" ht="16.5" thickTop="1" thickBot="1" x14ac:dyDescent="0.3">
      <c r="A9" s="5">
        <v>0.45246067042608756</v>
      </c>
      <c r="B9" s="2"/>
      <c r="C9" s="2"/>
      <c r="D9" s="2"/>
      <c r="E9" s="2"/>
      <c r="F9" s="2"/>
    </row>
    <row r="10" spans="1:11" ht="16.5" thickTop="1" thickBot="1" x14ac:dyDescent="0.3">
      <c r="A10" s="7">
        <f>COUNTA(A3:A9)</f>
        <v>7</v>
      </c>
      <c r="B10" s="7">
        <f>COUNTA(B3:B9)</f>
        <v>5</v>
      </c>
      <c r="C10" s="7">
        <f>COUNTA(C3:C9)</f>
        <v>5</v>
      </c>
      <c r="D10" s="7">
        <f>COUNTA(D3:D9)</f>
        <v>6</v>
      </c>
      <c r="E10" s="7">
        <f>COUNTA(E3:E9)</f>
        <v>4</v>
      </c>
      <c r="F10" s="7">
        <f>SUM(A10:E10)</f>
        <v>27</v>
      </c>
    </row>
    <row r="11" spans="1:11" ht="16.5" thickTop="1" thickBot="1" x14ac:dyDescent="0.3"/>
    <row r="12" spans="1:11" ht="20.25" thickTop="1" thickBot="1" x14ac:dyDescent="0.35">
      <c r="A12" s="25" t="s">
        <v>29</v>
      </c>
      <c r="B12" s="26"/>
      <c r="C12" s="26"/>
      <c r="D12" s="26"/>
      <c r="E12" s="26"/>
      <c r="F12" s="26"/>
    </row>
    <row r="13" spans="1:11" ht="16.5" thickTop="1" thickBot="1" x14ac:dyDescent="0.3">
      <c r="A13" s="3" t="s">
        <v>18</v>
      </c>
      <c r="B13" s="4" t="s">
        <v>17</v>
      </c>
      <c r="C13" s="4" t="s">
        <v>19</v>
      </c>
      <c r="D13" s="4" t="s">
        <v>20</v>
      </c>
      <c r="E13" s="4" t="s">
        <v>22</v>
      </c>
      <c r="F13" s="2"/>
    </row>
    <row r="14" spans="1:11" ht="16.5" thickTop="1" thickBot="1" x14ac:dyDescent="0.3">
      <c r="A14" s="5">
        <v>3.7256642357577867</v>
      </c>
      <c r="B14" s="5">
        <v>3.5652233632736023</v>
      </c>
      <c r="C14" s="5">
        <v>3.6642277792858002</v>
      </c>
      <c r="D14" s="5">
        <v>4.1739169837021626</v>
      </c>
      <c r="E14" s="5">
        <v>3.0554436905480218</v>
      </c>
      <c r="F14" s="2"/>
    </row>
    <row r="15" spans="1:11" ht="16.5" thickTop="1" thickBot="1" x14ac:dyDescent="0.3">
      <c r="A15" s="6">
        <v>5.4192872754814463</v>
      </c>
      <c r="B15" s="6">
        <v>4.3861017546052743</v>
      </c>
      <c r="C15" s="6">
        <v>3.6008049353909151</v>
      </c>
      <c r="D15" s="6">
        <v>4.7233610434768831</v>
      </c>
      <c r="E15" s="6">
        <v>4.7247467112566817</v>
      </c>
      <c r="F15" s="2"/>
    </row>
    <row r="16" spans="1:11" ht="16.5" thickTop="1" thickBot="1" x14ac:dyDescent="0.3">
      <c r="A16" s="5">
        <v>3.4672294700908628</v>
      </c>
      <c r="B16" s="5">
        <v>3.0959086029659644</v>
      </c>
      <c r="C16" s="5">
        <v>4.1120273768929874</v>
      </c>
      <c r="D16" s="5">
        <v>3.4297470434034913</v>
      </c>
      <c r="E16" s="5">
        <v>3.6481288120937552</v>
      </c>
      <c r="F16" s="2"/>
    </row>
    <row r="17" spans="1:6" ht="16.5" thickTop="1" thickBot="1" x14ac:dyDescent="0.3">
      <c r="A17" s="6">
        <v>4.1230445131669917</v>
      </c>
      <c r="B17" s="6">
        <v>4.4180015014373462</v>
      </c>
      <c r="C17" s="6">
        <v>4.1155364104236849</v>
      </c>
      <c r="D17" s="6">
        <v>3.2431464177574241</v>
      </c>
      <c r="E17" s="6">
        <v>4.3085418899048795</v>
      </c>
      <c r="F17" s="2"/>
    </row>
    <row r="18" spans="1:6" ht="16.5" thickTop="1" thickBot="1" x14ac:dyDescent="0.3">
      <c r="A18" s="5">
        <v>3.5286206172189396</v>
      </c>
      <c r="B18" s="5">
        <v>3.1656267793836772</v>
      </c>
      <c r="C18" s="5">
        <v>3.2721716221007058</v>
      </c>
      <c r="D18" s="5">
        <v>3.9256741578419749</v>
      </c>
      <c r="E18" s="5">
        <v>4.4920770429999095</v>
      </c>
      <c r="F18" s="2"/>
    </row>
    <row r="19" spans="1:6" ht="16.5" thickTop="1" thickBot="1" x14ac:dyDescent="0.3">
      <c r="A19" s="6">
        <v>3.1514402150388876</v>
      </c>
      <c r="B19" s="6">
        <v>4.7870490154336096</v>
      </c>
      <c r="C19" s="6">
        <v>5.2657809264820745</v>
      </c>
      <c r="D19" s="6">
        <v>5.4616179321218636</v>
      </c>
      <c r="E19" s="6">
        <v>3.0442208799809389</v>
      </c>
      <c r="F19" s="2"/>
    </row>
    <row r="20" spans="1:6" ht="16.5" thickTop="1" thickBot="1" x14ac:dyDescent="0.3">
      <c r="A20" s="2"/>
      <c r="B20" s="5">
        <v>3.6417554704447808</v>
      </c>
      <c r="C20" s="5">
        <v>3.4142665350455634</v>
      </c>
      <c r="D20" s="5">
        <v>3.2767209981154339</v>
      </c>
      <c r="E20" s="2"/>
      <c r="F20" s="2"/>
    </row>
    <row r="21" spans="1:6" ht="16.5" thickTop="1" thickBot="1" x14ac:dyDescent="0.3">
      <c r="A21" s="2"/>
      <c r="B21" s="6">
        <v>4.5444856009559746</v>
      </c>
      <c r="C21" s="6">
        <v>3.3947584178554155</v>
      </c>
      <c r="D21" s="6">
        <v>4.8117166849142317</v>
      </c>
      <c r="E21" s="2"/>
      <c r="F21" s="2"/>
    </row>
    <row r="22" spans="1:6" ht="16.5" thickTop="1" thickBot="1" x14ac:dyDescent="0.3">
      <c r="A22" s="2">
        <f>COUNT(A14:A21)</f>
        <v>6</v>
      </c>
      <c r="B22" s="2">
        <f>COUNT(B14:B21)</f>
        <v>8</v>
      </c>
      <c r="C22" s="2">
        <f>COUNT(C14:C21)</f>
        <v>8</v>
      </c>
      <c r="D22" s="2">
        <f>COUNT(D14:D21)</f>
        <v>8</v>
      </c>
      <c r="E22" s="2">
        <f>COUNT(E14:E21)</f>
        <v>6</v>
      </c>
      <c r="F22" s="2">
        <f>SUM(A22:E22)</f>
        <v>36</v>
      </c>
    </row>
    <row r="23" spans="1:6" ht="15.75" thickTop="1" x14ac:dyDescent="0.25">
      <c r="A23" s="8"/>
      <c r="B23" s="8"/>
      <c r="C23" s="8"/>
      <c r="D23" s="8"/>
      <c r="E23" s="8"/>
      <c r="F23" s="8"/>
    </row>
    <row r="24" spans="1:6" ht="15.75" thickBot="1" x14ac:dyDescent="0.3"/>
    <row r="25" spans="1:6" ht="20.25" thickTop="1" thickBot="1" x14ac:dyDescent="0.35">
      <c r="A25" s="22" t="s">
        <v>23</v>
      </c>
      <c r="B25" s="23"/>
      <c r="C25" s="23"/>
      <c r="D25" s="23"/>
      <c r="E25" s="23"/>
      <c r="F25" s="23"/>
    </row>
    <row r="26" spans="1:6" ht="16.5" thickTop="1" thickBot="1" x14ac:dyDescent="0.3">
      <c r="A26" s="3" t="s">
        <v>18</v>
      </c>
      <c r="B26" s="4" t="s">
        <v>17</v>
      </c>
      <c r="C26" s="4" t="s">
        <v>19</v>
      </c>
      <c r="D26" s="4" t="s">
        <v>20</v>
      </c>
      <c r="E26" s="4" t="s">
        <v>24</v>
      </c>
      <c r="F26" s="2"/>
    </row>
    <row r="27" spans="1:6" ht="16.5" thickTop="1" thickBot="1" x14ac:dyDescent="0.3">
      <c r="A27" s="5">
        <v>2.022815501124966</v>
      </c>
      <c r="B27" s="5">
        <v>2.4137014122299512</v>
      </c>
      <c r="C27" s="5">
        <v>2.9483925803838331</v>
      </c>
      <c r="D27" s="5">
        <v>2.0759504603947003</v>
      </c>
      <c r="E27" s="5">
        <v>1.9832099234295399</v>
      </c>
      <c r="F27" s="2"/>
    </row>
    <row r="28" spans="1:6" ht="16.5" thickTop="1" thickBot="1" x14ac:dyDescent="0.3">
      <c r="A28" s="6">
        <v>2.4969501235423688</v>
      </c>
      <c r="B28" s="6">
        <v>2.8205031348194876</v>
      </c>
      <c r="C28" s="6">
        <v>2.7667081584741604</v>
      </c>
      <c r="D28" s="6">
        <v>2.0626346260137094</v>
      </c>
      <c r="E28" s="6">
        <v>1.871077964787927</v>
      </c>
      <c r="F28" s="2"/>
    </row>
    <row r="29" spans="1:6" ht="16.5" thickTop="1" thickBot="1" x14ac:dyDescent="0.3">
      <c r="A29" s="5">
        <v>2.5531636799767976</v>
      </c>
      <c r="B29" s="5">
        <v>2.8743007905340838</v>
      </c>
      <c r="C29" s="5">
        <v>2.9527610893913412</v>
      </c>
      <c r="D29" s="5">
        <v>1.8341423982540501</v>
      </c>
      <c r="E29" s="5">
        <v>2.3830841594167103</v>
      </c>
      <c r="F29" s="2"/>
    </row>
    <row r="30" spans="1:6" ht="16.5" thickTop="1" thickBot="1" x14ac:dyDescent="0.3">
      <c r="A30" s="6">
        <v>1.9715535379088278</v>
      </c>
      <c r="B30" s="6">
        <v>2.1980203761131691</v>
      </c>
      <c r="C30" s="6">
        <v>1.9469759979674781</v>
      </c>
      <c r="D30" s="6">
        <v>2.3077932495717843</v>
      </c>
      <c r="E30" s="6">
        <v>1.9260387490340212</v>
      </c>
      <c r="F30" s="2"/>
    </row>
    <row r="31" spans="1:6" ht="16.5" thickTop="1" thickBot="1" x14ac:dyDescent="0.3">
      <c r="A31" s="5">
        <v>2.7409627818064166</v>
      </c>
      <c r="B31" s="5">
        <v>2.1461522138097839</v>
      </c>
      <c r="C31" s="5">
        <v>1.8111439104938638</v>
      </c>
      <c r="D31" s="5">
        <v>2.8166188433304828</v>
      </c>
      <c r="E31" s="5">
        <v>2.1409314298837483</v>
      </c>
      <c r="F31" s="2"/>
    </row>
    <row r="32" spans="1:6" ht="16.5" thickTop="1" thickBot="1" x14ac:dyDescent="0.3">
      <c r="A32" s="6">
        <v>2.962811409238447</v>
      </c>
      <c r="B32" s="6">
        <v>2.747930528978245</v>
      </c>
      <c r="C32" s="6">
        <v>2.3347155483481732</v>
      </c>
      <c r="D32" s="6">
        <v>2.2176795695351141</v>
      </c>
      <c r="E32" s="6">
        <v>2.1049706790223057</v>
      </c>
      <c r="F32" s="2"/>
    </row>
    <row r="33" spans="1:6" ht="16.5" thickTop="1" thickBot="1" x14ac:dyDescent="0.3">
      <c r="A33" s="5">
        <v>1.9019956661183675</v>
      </c>
      <c r="B33" s="5">
        <v>2.5016483353282704</v>
      </c>
      <c r="C33" s="5">
        <v>2.4772210291376418</v>
      </c>
      <c r="D33" s="2"/>
      <c r="E33" s="5">
        <v>2.9552920134873064</v>
      </c>
      <c r="F33" s="2"/>
    </row>
    <row r="34" spans="1:6" ht="16.5" thickTop="1" thickBot="1" x14ac:dyDescent="0.3">
      <c r="A34" s="2"/>
      <c r="B34" s="2"/>
      <c r="C34" s="2"/>
      <c r="D34" s="2"/>
      <c r="E34" s="6">
        <v>1.8822647010704068</v>
      </c>
      <c r="F34" s="2"/>
    </row>
    <row r="35" spans="1:6" ht="16.5" thickTop="1" thickBot="1" x14ac:dyDescent="0.3">
      <c r="A35" s="2"/>
      <c r="B35" s="2"/>
      <c r="C35" s="2"/>
      <c r="D35" s="2"/>
      <c r="E35" s="5">
        <v>2.013618625221075</v>
      </c>
      <c r="F35" s="2"/>
    </row>
    <row r="36" spans="1:6" ht="16.5" thickTop="1" thickBot="1" x14ac:dyDescent="0.3">
      <c r="A36" s="2"/>
      <c r="B36" s="2"/>
      <c r="C36" s="2"/>
      <c r="D36" s="2"/>
      <c r="E36" s="6">
        <v>2.0531032620885488</v>
      </c>
      <c r="F36" s="2"/>
    </row>
    <row r="37" spans="1:6" ht="16.5" thickTop="1" thickBot="1" x14ac:dyDescent="0.3">
      <c r="A37" s="2">
        <f>COUNT(A27:A36)</f>
        <v>7</v>
      </c>
      <c r="B37" s="2">
        <f>COUNT(B27:B36)</f>
        <v>7</v>
      </c>
      <c r="C37" s="2">
        <f>COUNT(C27:C36)</f>
        <v>7</v>
      </c>
      <c r="D37" s="2">
        <f>COUNT(D27:D36)</f>
        <v>6</v>
      </c>
      <c r="E37" s="2">
        <f>COUNT(E27:E36)</f>
        <v>10</v>
      </c>
      <c r="F37" s="2">
        <f>SUM(A37:E37)</f>
        <v>37</v>
      </c>
    </row>
    <row r="38" spans="1:6" ht="15.75" thickTop="1" x14ac:dyDescent="0.25"/>
  </sheetData>
  <mergeCells count="4">
    <mergeCell ref="A25:F25"/>
    <mergeCell ref="A1:F1"/>
    <mergeCell ref="A12:F12"/>
    <mergeCell ref="I2:K2"/>
  </mergeCells>
  <conditionalFormatting sqref="A2:A9">
    <cfRule type="colorScale" priority="15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B3:B7">
    <cfRule type="colorScale" priority="14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C2:C7">
    <cfRule type="colorScale" priority="13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D2:D8">
    <cfRule type="colorScale" priority="12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E2:E6">
    <cfRule type="colorScale" priority="11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A13:A19">
    <cfRule type="colorScale" priority="10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B13:B21">
    <cfRule type="colorScale" priority="9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C13:C21">
    <cfRule type="colorScale" priority="8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D13:D21">
    <cfRule type="colorScale" priority="7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E13:E19">
    <cfRule type="colorScale" priority="6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A26:A33">
    <cfRule type="colorScale" priority="5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B26:B33">
    <cfRule type="colorScale" priority="4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C26:C33">
    <cfRule type="colorScale" priority="3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D26:D32">
    <cfRule type="colorScale" priority="2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E26:E36">
    <cfRule type="colorScale" priority="1">
      <colorScale>
        <cfvo type="min"/>
        <cfvo type="percentile" val="24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r:id="rId1"/>
  <headerFooter>
    <oddHeader>&amp;C&amp;"Times New Roman,Normal"&amp;16calcul des nombres de dossiers acceptés, rejetés ou en incertitudes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view="pageLayout" topLeftCell="A2" zoomScaleNormal="100" workbookViewId="0">
      <selection activeCell="J16" sqref="J16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F16"/>
  <sheetViews>
    <sheetView showGridLines="0" tabSelected="1" view="pageLayout" zoomScaleNormal="100" workbookViewId="0">
      <selection activeCell="B13" sqref="B13"/>
    </sheetView>
  </sheetViews>
  <sheetFormatPr baseColWidth="10" defaultRowHeight="15" x14ac:dyDescent="0.25"/>
  <sheetData>
    <row r="1" spans="1:6" ht="15.75" thickBot="1" x14ac:dyDescent="0.3">
      <c r="A1" s="11" t="s">
        <v>18</v>
      </c>
      <c r="B1" t="s">
        <v>17</v>
      </c>
      <c r="C1" s="12" t="s">
        <v>19</v>
      </c>
      <c r="D1" s="12" t="s">
        <v>20</v>
      </c>
      <c r="E1" s="12" t="s">
        <v>24</v>
      </c>
    </row>
    <row r="2" spans="1:6" x14ac:dyDescent="0.25">
      <c r="A2" s="13">
        <v>2.022815501124966</v>
      </c>
      <c r="B2" s="13">
        <v>2.4137014122299512</v>
      </c>
      <c r="C2" s="13">
        <v>2.9483925803838331</v>
      </c>
      <c r="D2" s="13">
        <v>2.0759504603947003</v>
      </c>
      <c r="E2" s="13">
        <v>1.9832099234295399</v>
      </c>
    </row>
    <row r="3" spans="1:6" x14ac:dyDescent="0.25">
      <c r="A3" s="14">
        <v>1.0524954660427448</v>
      </c>
      <c r="B3" s="14">
        <v>2.8205031348194876</v>
      </c>
      <c r="C3" s="14">
        <v>2.7667081584741604</v>
      </c>
      <c r="D3" s="14">
        <v>2.0626346260137094</v>
      </c>
      <c r="E3" s="14">
        <v>1.871077964787927</v>
      </c>
    </row>
    <row r="4" spans="1:6" x14ac:dyDescent="0.25">
      <c r="A4" s="13">
        <v>2.4969501235423688</v>
      </c>
      <c r="B4" s="13">
        <v>-0.36182077860307343</v>
      </c>
      <c r="C4" s="13">
        <v>1.4511764045879667</v>
      </c>
      <c r="D4" s="13">
        <v>1.8341423982540501</v>
      </c>
      <c r="E4" s="13">
        <v>2.3830841594167103</v>
      </c>
    </row>
    <row r="5" spans="1:6" x14ac:dyDescent="0.25">
      <c r="A5" s="14">
        <v>2.5531636799767976</v>
      </c>
      <c r="B5" s="14">
        <v>0.27851368457977788</v>
      </c>
      <c r="C5" s="14">
        <v>2.9527610893913412</v>
      </c>
      <c r="D5" s="14">
        <v>2.3077932495717843</v>
      </c>
      <c r="E5" s="14">
        <v>1.9260387490340212</v>
      </c>
    </row>
    <row r="6" spans="1:6" x14ac:dyDescent="0.25">
      <c r="A6" s="13">
        <v>1.3520263893393645</v>
      </c>
      <c r="B6" s="13">
        <v>2.8743007905340838</v>
      </c>
      <c r="C6" s="13">
        <v>1.2714110296843359</v>
      </c>
      <c r="D6" s="13">
        <v>1.5192087168496209</v>
      </c>
      <c r="E6" s="13">
        <v>0.95832447319648262</v>
      </c>
    </row>
    <row r="7" spans="1:6" x14ac:dyDescent="0.25">
      <c r="A7" s="14">
        <v>1.9715535379088278</v>
      </c>
      <c r="B7" s="14">
        <v>2.1980203761131691</v>
      </c>
      <c r="C7" s="14">
        <v>1.9469759979674781</v>
      </c>
      <c r="D7" s="14">
        <v>0.32120544585633493</v>
      </c>
      <c r="E7" s="14">
        <v>2.1409314298837483</v>
      </c>
    </row>
    <row r="8" spans="1:6" x14ac:dyDescent="0.25">
      <c r="A8" s="13">
        <v>0.68745299725557463</v>
      </c>
      <c r="B8" s="13">
        <v>1.7794226058818552</v>
      </c>
      <c r="C8" s="13">
        <v>1.8111439104938638</v>
      </c>
      <c r="D8" s="13">
        <v>2.8166188433304828</v>
      </c>
      <c r="E8" s="13">
        <v>1.3651109228159393</v>
      </c>
    </row>
    <row r="9" spans="1:6" x14ac:dyDescent="0.25">
      <c r="A9" s="14">
        <v>1.7693206625034374</v>
      </c>
      <c r="B9" s="14">
        <v>2.1461522138097839</v>
      </c>
      <c r="C9" s="14">
        <v>2.3347155483481732</v>
      </c>
      <c r="D9" s="14">
        <v>0.5216581165766645</v>
      </c>
      <c r="E9" s="14">
        <v>2.1049706790223057</v>
      </c>
    </row>
    <row r="10" spans="1:6" x14ac:dyDescent="0.25">
      <c r="A10" s="13">
        <v>1.1813897705145358</v>
      </c>
      <c r="B10" s="13">
        <v>0.92058455878652834</v>
      </c>
      <c r="C10" s="13">
        <v>1.0297422458274885</v>
      </c>
      <c r="D10" s="13">
        <v>2.2176795695351141</v>
      </c>
      <c r="E10" s="13">
        <v>0.28634782144339632</v>
      </c>
    </row>
    <row r="11" spans="1:6" x14ac:dyDescent="0.25">
      <c r="A11" s="14">
        <v>0.67225230100045819</v>
      </c>
      <c r="B11" s="14">
        <v>2.747930528978245</v>
      </c>
      <c r="C11" s="14">
        <v>2.4772210291376418</v>
      </c>
      <c r="D11" s="14">
        <v>1.6434557400322403</v>
      </c>
      <c r="E11" s="14">
        <v>2.9552920134873064</v>
      </c>
    </row>
    <row r="12" spans="1:6" x14ac:dyDescent="0.25">
      <c r="A12" s="13">
        <v>2.7409627818064166</v>
      </c>
      <c r="B12" s="13">
        <v>1.0453681702725737</v>
      </c>
      <c r="C12" s="13">
        <v>-0.84737226122611009</v>
      </c>
      <c r="D12" s="13">
        <v>1.4487523577583344E-2</v>
      </c>
      <c r="E12" s="13">
        <v>1.1484423575551597</v>
      </c>
    </row>
    <row r="13" spans="1:6" x14ac:dyDescent="0.25">
      <c r="A13" s="14">
        <v>2.962811409238447</v>
      </c>
      <c r="B13" s="14">
        <v>2.5016483353282704</v>
      </c>
      <c r="C13" s="14">
        <v>1.4701666042188457</v>
      </c>
      <c r="D13" s="14">
        <v>0.47210265997456147</v>
      </c>
      <c r="E13" s="14">
        <v>1.8822647010704068</v>
      </c>
    </row>
    <row r="14" spans="1:6" x14ac:dyDescent="0.25">
      <c r="A14" s="13">
        <v>1.9019956661183675</v>
      </c>
      <c r="E14" s="13">
        <v>2.013618625221075</v>
      </c>
    </row>
    <row r="15" spans="1:6" x14ac:dyDescent="0.25">
      <c r="A15" s="14">
        <v>0.45246067042608756</v>
      </c>
      <c r="E15" s="14">
        <v>2.0531032620885488</v>
      </c>
    </row>
    <row r="16" spans="1:6" x14ac:dyDescent="0.25">
      <c r="A16">
        <f>COUNT(A2:A15)</f>
        <v>14</v>
      </c>
      <c r="B16">
        <f>COUNT(B2:B15)</f>
        <v>12</v>
      </c>
      <c r="C16">
        <f>COUNT(C2:C15)</f>
        <v>12</v>
      </c>
      <c r="D16">
        <f>COUNT(D2:D15)</f>
        <v>12</v>
      </c>
      <c r="E16">
        <f>COUNT(E2:E15)</f>
        <v>14</v>
      </c>
      <c r="F16">
        <f>SUM(A16:E16)</f>
        <v>64</v>
      </c>
    </row>
  </sheetData>
  <conditionalFormatting sqref="A1:A15">
    <cfRule type="colorScale" priority="6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B2:B13">
    <cfRule type="colorScale" priority="5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C1:C13">
    <cfRule type="colorScale" priority="4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D1">
    <cfRule type="colorScale" priority="3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E1:E15">
    <cfRule type="colorScale" priority="2">
      <colorScale>
        <cfvo type="min"/>
        <cfvo type="percentile" val="24"/>
        <cfvo type="max"/>
        <color rgb="FFFF0000"/>
        <color rgb="FFFFFF00"/>
        <color rgb="FF00B050"/>
      </colorScale>
    </cfRule>
  </conditionalFormatting>
  <conditionalFormatting sqref="D2:D13">
    <cfRule type="colorScale" priority="1">
      <colorScale>
        <cfvo type="min"/>
        <cfvo type="percentile" val="24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r:id="rId1"/>
  <headerFooter>
    <oddHeader>&amp;L&amp;"Times New Roman,Gras"&amp;14l'ensemble des données de toutes les entreprises défaillantes ou en incertitudes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solverA</vt:lpstr>
      <vt:lpstr>A</vt:lpstr>
      <vt:lpstr>solverB</vt:lpstr>
      <vt:lpstr>B</vt:lpstr>
      <vt:lpstr>solverC</vt:lpstr>
      <vt:lpstr>C</vt:lpstr>
      <vt:lpstr>SolverD</vt:lpstr>
      <vt:lpstr>D</vt:lpstr>
      <vt:lpstr>solverE</vt:lpstr>
      <vt:lpstr>E</vt:lpstr>
      <vt:lpstr>heatmap</vt:lpstr>
      <vt:lpstr>NOMBRE</vt:lpstr>
      <vt:lpstr>Diagramme</vt:lpstr>
      <vt:lpstr>défaillants ou incertitudes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johana faye</cp:lastModifiedBy>
  <cp:lastPrinted>2020-02-29T17:15:06Z</cp:lastPrinted>
  <dcterms:created xsi:type="dcterms:W3CDTF">2020-02-19T21:19:23Z</dcterms:created>
  <dcterms:modified xsi:type="dcterms:W3CDTF">2020-02-29T22:48:30Z</dcterms:modified>
</cp:coreProperties>
</file>